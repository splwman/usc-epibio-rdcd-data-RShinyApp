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apountn\Desktop\"/>
    </mc:Choice>
  </mc:AlternateContent>
  <xr:revisionPtr revIDLastSave="0" documentId="13_ncr:1_{0E3B5D2C-6FC0-4586-95E7-030561EBC2A4}" xr6:coauthVersionLast="47" xr6:coauthVersionMax="47" xr10:uidLastSave="{00000000-0000-0000-0000-000000000000}"/>
  <bookViews>
    <workbookView xWindow="-28920" yWindow="-120" windowWidth="29040" windowHeight="15720" activeTab="1" xr2:uid="{00000000-000D-0000-FFFF-FFFF00000000}"/>
  </bookViews>
  <sheets>
    <sheet name="README" sheetId="1" r:id="rId1"/>
    <sheet name="Data_Prep" sheetId="2" r:id="rId2"/>
    <sheet name="Data_Dictionary" sheetId="3" r:id="rId3"/>
    <sheet name="Dropdowns" sheetId="4" r:id="rId4"/>
    <sheet name="Category_Keywords" sheetId="5" r:id="rId5"/>
    <sheet name="Demo_Scenarios" sheetId="6" r:id="rId6"/>
    <sheet name="Scoring_Model" sheetId="7" r:id="rId7"/>
    <sheet name="To_Do" sheetId="8" r:id="rId8"/>
    <sheet name="Feasibility_Test_Plan"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93" i="2" l="1"/>
  <c r="AJ80" i="2"/>
  <c r="AJ77" i="2"/>
  <c r="AJ60" i="2"/>
  <c r="AJ61" i="2"/>
  <c r="AJ98" i="2"/>
  <c r="AJ96" i="2"/>
  <c r="AJ95" i="2"/>
  <c r="AJ94" i="2"/>
  <c r="AJ97" i="2"/>
  <c r="AJ92" i="2"/>
  <c r="AJ91" i="2"/>
  <c r="AJ90" i="2"/>
  <c r="AJ89" i="2"/>
  <c r="AJ88" i="2"/>
  <c r="AJ87" i="2"/>
  <c r="AJ86" i="2"/>
  <c r="AJ85" i="2"/>
  <c r="AJ84" i="2"/>
  <c r="AJ83" i="2"/>
  <c r="AJ82" i="2"/>
  <c r="AJ81" i="2"/>
  <c r="AJ79" i="2"/>
  <c r="AJ78" i="2"/>
  <c r="AJ76" i="2"/>
  <c r="AJ75" i="2"/>
  <c r="AJ74" i="2"/>
  <c r="AJ73" i="2"/>
  <c r="AJ72" i="2"/>
  <c r="AJ71" i="2"/>
  <c r="AJ70" i="2"/>
  <c r="AJ69" i="2"/>
  <c r="AJ68" i="2"/>
  <c r="AJ67" i="2"/>
  <c r="AJ66" i="2"/>
  <c r="AJ65" i="2"/>
  <c r="AJ64" i="2"/>
  <c r="AJ63" i="2"/>
  <c r="AJ62" i="2"/>
  <c r="AJ2" i="2"/>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alcChain>
</file>

<file path=xl/sharedStrings.xml><?xml version="1.0" encoding="utf-8"?>
<sst xmlns="http://schemas.openxmlformats.org/spreadsheetml/2006/main" count="3560" uniqueCount="1878">
  <si>
    <t>RDCD Public Data Discovery Navigator - Data Preparation Template</t>
  </si>
  <si>
    <t>Item</t>
  </si>
  <si>
    <t>Description</t>
  </si>
  <si>
    <t>Workbook purpose</t>
  </si>
  <si>
    <t>Prepare a structured dataset catalog for the RDCD Public Data Discovery Navigator Shiny app.</t>
  </si>
  <si>
    <t>Source used</t>
  </si>
  <si>
    <t>Rows were populated from the uploaded Word file: Data source list.docx.</t>
  </si>
  <si>
    <t>Important note</t>
  </si>
  <si>
    <t>Only the fields already present in the Word file were prefilled. App-curation fields are intentionally blank.</t>
  </si>
  <si>
    <t>How to use</t>
  </si>
  <si>
    <t>Complete the blank metadata columns in Data_Prep, especially category, keywords, geography, unit of analysis, and access burden.</t>
  </si>
  <si>
    <t>Minimum viable demo</t>
  </si>
  <si>
    <t>Complete 10-15 high-value rows first, then test keyword search and filters before curating all sources.</t>
  </si>
  <si>
    <t>Source count</t>
  </si>
  <si>
    <t>58</t>
  </si>
  <si>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</si>
  <si>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</si>
  <si>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</si>
  <si>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</si>
  <si>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</si>
  <si>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</si>
  <si>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</si>
  <si>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</si>
  <si>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</si>
  <si>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</si>
  <si>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</si>
  <si>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</si>
  <si>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</si>
  <si>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</si>
  <si>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</si>
  <si>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</si>
  <si>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</si>
  <si>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</si>
  <si>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</si>
  <si>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</si>
  <si>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</si>
  <si>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</si>
  <si>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</si>
  <si>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</si>
  <si>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</si>
  <si>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</si>
  <si>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</si>
  <si>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</si>
  <si>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</si>
  <si>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</si>
  <si>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</si>
  <si>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</si>
  <si>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</si>
  <si>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</si>
  <si>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</si>
  <si>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</si>
  <si>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</si>
  <si>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</si>
  <si>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</si>
  <si>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</si>
  <si>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</si>
  <si>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</si>
  <si>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</si>
  <si>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</si>
  <si>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</si>
  <si>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</si>
  <si>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</si>
  <si>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</si>
  <si>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</si>
  <si>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</si>
  <si>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</si>
  <si>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</si>
  <si>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</si>
  <si>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</si>
  <si>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</si>
  <si>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</si>
  <si>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</si>
  <si>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</si>
  <si>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</si>
  <si>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</si>
  <si>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</si>
  <si>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</si>
  <si>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</si>
  <si>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</si>
  <si>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</si>
  <si>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</si>
  <si>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</si>
  <si>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</si>
  <si>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</si>
  <si>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</si>
  <si>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All of Us</t>
  </si>
  <si>
    <t>EHR; clinical, electronic health record; genomics; survey; mobile device data; physical measurements; health care utlization/cost;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</si>
  <si>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</si>
  <si>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</si>
  <si>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</si>
  <si>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</si>
  <si>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</si>
  <si>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 xml:space="preserve">demographics; socioeconomic; geographic; HER-derived variables; mortality; claims; mobility; lifestyle; physical activity; genotyping; biomarkers; whole genome sequencing; nutrition; environmental exposures; minute-level metrics; device provenance </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</si>
  <si>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</si>
  <si>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</si>
  <si>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</si>
  <si>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</si>
  <si>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</si>
  <si>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</si>
  <si>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</si>
  <si>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</si>
  <si>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</si>
  <si>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</si>
  <si>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</si>
  <si>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</si>
  <si>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</si>
  <si>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</si>
  <si>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</si>
  <si>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</si>
  <si>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</si>
  <si>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</si>
  <si>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</si>
  <si>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</si>
  <si>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</si>
  <si>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</si>
  <si>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</si>
  <si>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</si>
  <si>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</si>
  <si>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</si>
  <si>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</si>
  <si>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</si>
  <si>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</si>
  <si>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</si>
  <si>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</si>
  <si>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</si>
  <si>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</si>
  <si>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</si>
  <si>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</si>
  <si>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</si>
  <si>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</si>
  <si>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</si>
  <si>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</si>
  <si>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</si>
  <si>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</si>
  <si>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</si>
  <si>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</si>
  <si>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</si>
  <si>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</si>
  <si>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</si>
  <si>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</si>
  <si>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</si>
  <si>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</si>
  <si>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</si>
  <si>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</si>
  <si>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</si>
  <si>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</si>
  <si>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</si>
  <si>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</si>
  <si>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</si>
  <si>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</si>
  <si>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</si>
  <si>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</si>
  <si>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</si>
  <si>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</si>
  <si>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</si>
  <si>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</si>
  <si>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</si>
  <si>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</si>
  <si>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</si>
  <si>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</si>
  <si>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</si>
  <si>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</si>
  <si>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</si>
  <si>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</si>
  <si>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</si>
  <si>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</si>
  <si>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</si>
  <si>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</si>
  <si>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</si>
  <si>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</si>
  <si>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</si>
  <si>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</si>
  <si>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</si>
  <si>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</si>
  <si>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</si>
  <si>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</si>
  <si>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</si>
  <si>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</si>
  <si>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</si>
  <si>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</si>
  <si>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</si>
  <si>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</si>
  <si>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</si>
  <si>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</si>
  <si>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</si>
  <si>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</si>
  <si>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</si>
  <si>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</si>
  <si>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</si>
  <si>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</si>
  <si>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</si>
  <si>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</si>
  <si>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</si>
  <si>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</si>
  <si>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</si>
  <si>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</si>
  <si>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</si>
  <si>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</si>
  <si>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</si>
  <si>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</si>
  <si>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</si>
  <si>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</si>
  <si>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</si>
  <si>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</si>
  <si>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</si>
  <si>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</si>
  <si>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</si>
  <si>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</si>
  <si>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</si>
  <si>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</si>
  <si>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</si>
  <si>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</si>
  <si>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</si>
  <si>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</si>
  <si>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</si>
  <si>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</si>
  <si>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</si>
  <si>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</si>
  <si>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</si>
  <si>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</si>
  <si>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</si>
  <si>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</si>
  <si>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</si>
  <si>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</si>
  <si>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</si>
  <si>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</si>
  <si>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</si>
  <si>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</si>
  <si>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</si>
  <si>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</si>
  <si>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</si>
  <si>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</si>
  <si>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</si>
  <si>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</si>
  <si>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</si>
  <si>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</si>
  <si>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</si>
  <si>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</si>
  <si>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</si>
  <si>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</si>
  <si>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</si>
  <si>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</si>
  <si>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</si>
  <si>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</si>
  <si>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</si>
  <si>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</si>
  <si>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</si>
  <si>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</si>
  <si>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</si>
  <si>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</si>
  <si>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</si>
  <si>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</si>
  <si>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</si>
  <si>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</si>
  <si>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</si>
  <si>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</si>
  <si>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</si>
  <si>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</si>
  <si>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</si>
  <si>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</si>
  <si>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</si>
  <si>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</si>
  <si>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</si>
  <si>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</si>
  <si>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</si>
  <si>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</si>
  <si>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</si>
  <si>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</si>
  <si>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</si>
  <si>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</si>
  <si>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</si>
  <si>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</si>
  <si>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</si>
  <si>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</si>
  <si>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</si>
  <si>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</si>
  <si>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</si>
  <si>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</si>
  <si>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</si>
  <si>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</si>
  <si>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</si>
  <si>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</si>
  <si>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</si>
  <si>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</si>
  <si>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</si>
  <si>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</si>
  <si>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</si>
  <si>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</si>
  <si>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</si>
  <si>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</si>
  <si>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</si>
  <si>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</si>
  <si>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</si>
  <si>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</si>
  <si>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</si>
  <si>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</si>
  <si>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</si>
  <si>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</si>
  <si>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</si>
  <si>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</si>
  <si>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</si>
  <si>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</si>
  <si>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</si>
  <si>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</si>
  <si>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</si>
  <si>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</si>
  <si>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</si>
  <si>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</si>
  <si>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</si>
  <si>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</si>
  <si>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</si>
  <si>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</si>
  <si>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</si>
  <si>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</si>
  <si>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</si>
  <si>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</si>
  <si>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</si>
  <si>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</si>
  <si>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</si>
  <si>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</si>
  <si>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</si>
  <si>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</si>
  <si>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</si>
  <si>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</si>
  <si>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</si>
  <si>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</si>
  <si>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</si>
  <si>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</si>
  <si>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</si>
  <si>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</si>
  <si>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</si>
  <si>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</si>
  <si>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</si>
  <si>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</si>
  <si>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</si>
  <si>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</si>
  <si>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</si>
  <si>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</si>
  <si>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</si>
  <si>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</si>
  <si>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</si>
  <si>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</si>
  <si>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</si>
  <si>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</si>
  <si>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</si>
  <si>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</si>
  <si>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</si>
  <si>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</si>
  <si>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</si>
  <si>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</si>
  <si>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</si>
  <si>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</si>
  <si>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</si>
  <si>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</si>
  <si>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</si>
  <si>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</si>
  <si>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</si>
  <si>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</si>
  <si>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</si>
  <si>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</si>
  <si>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</si>
  <si>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</si>
  <si>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</si>
  <si>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</si>
  <si>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</si>
  <si>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</si>
  <si>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</si>
  <si>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</si>
  <si>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</si>
  <si>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</si>
  <si>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</si>
  <si>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</si>
  <si>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</si>
  <si>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</si>
  <si>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</si>
  <si>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</si>
  <si>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</si>
  <si>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</si>
  <si>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</si>
  <si>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</si>
  <si>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</si>
  <si>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</si>
  <si>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</si>
  <si>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</si>
  <si>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</si>
  <si>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</si>
  <si>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</si>
  <si>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</si>
  <si>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</si>
  <si>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</si>
  <si>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</si>
  <si>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</si>
  <si>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</si>
  <si>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</si>
  <si>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</si>
  <si>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</si>
  <si>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</si>
  <si>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</si>
  <si>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</si>
  <si>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</si>
  <si>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</si>
  <si>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</si>
  <si>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</si>
  <si>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</si>
  <si>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</si>
  <si>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</si>
  <si>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</si>
  <si>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</si>
  <si>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</si>
  <si>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</si>
  <si>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</si>
  <si>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</si>
  <si>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</si>
  <si>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</si>
  <si>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</si>
  <si>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</si>
  <si>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</si>
  <si>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</si>
  <si>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</si>
  <si>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</si>
  <si>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</si>
  <si>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</si>
  <si>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</si>
  <si>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</si>
  <si>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</si>
  <si>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</si>
  <si>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</si>
  <si>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</si>
  <si>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</si>
  <si>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</si>
  <si>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</si>
  <si>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</si>
  <si>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</si>
  <si>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</si>
  <si>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</si>
  <si>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</si>
  <si>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</si>
  <si>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</si>
  <si>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</si>
  <si>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</si>
  <si>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</si>
  <si>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</si>
  <si>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</si>
  <si>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</si>
  <si>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</si>
  <si>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</si>
  <si>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</si>
  <si>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</si>
  <si>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</si>
  <si>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</si>
  <si>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</si>
  <si>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</si>
  <si>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</si>
  <si>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</si>
  <si>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</si>
  <si>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</si>
  <si>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</si>
  <si>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</si>
  <si>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</si>
  <si>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</si>
  <si>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</si>
  <si>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</si>
  <si>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</si>
  <si>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</si>
  <si>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</si>
  <si>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</si>
  <si>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</si>
  <si>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</si>
  <si>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</si>
  <si>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</si>
  <si>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</si>
  <si>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</si>
  <si>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</si>
  <si>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</si>
  <si>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</si>
  <si>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</si>
  <si>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</si>
  <si>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</si>
  <si>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</si>
  <si>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</si>
  <si>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</si>
  <si>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</si>
  <si>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</si>
  <si>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</si>
  <si>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</si>
  <si>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</si>
  <si>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</si>
  <si>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</si>
  <si>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</si>
  <si>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</si>
  <si>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</si>
  <si>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</si>
  <si>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</si>
  <si>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</si>
  <si>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</si>
  <si>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</si>
  <si>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</si>
  <si>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</si>
  <si>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</si>
  <si>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</si>
  <si>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</si>
  <si>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</si>
  <si>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</si>
  <si>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</si>
  <si>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</si>
  <si>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</si>
  <si>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</si>
  <si>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</si>
  <si>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</si>
  <si>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</si>
  <si>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</si>
  <si>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</si>
  <si>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</si>
  <si>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</si>
  <si>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</si>
  <si>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</si>
  <si>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</si>
  <si>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</si>
  <si>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</si>
  <si>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</si>
  <si>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</si>
  <si>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</si>
  <si>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</si>
  <si>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</si>
  <si>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</si>
  <si>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</si>
  <si>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</si>
  <si>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</si>
  <si>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</si>
  <si>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</si>
  <si>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</si>
  <si>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</si>
  <si>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</si>
  <si>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</si>
  <si>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</si>
  <si>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</si>
  <si>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</si>
  <si>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</si>
  <si>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</si>
  <si>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</si>
  <si>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</si>
  <si>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</si>
  <si>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</si>
  <si>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</si>
  <si>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</si>
  <si>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</si>
  <si>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</si>
  <si>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</si>
  <si>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</si>
  <si>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</si>
  <si>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</si>
  <si>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</si>
  <si>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</si>
  <si>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</si>
  <si>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</si>
  <si>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</si>
  <si>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</si>
  <si>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</si>
  <si>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</si>
  <si>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</si>
  <si>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</si>
  <si>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</si>
  <si>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</si>
  <si>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</si>
  <si>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</si>
  <si>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</si>
  <si>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</si>
  <si>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</si>
  <si>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</si>
  <si>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</si>
  <si>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</si>
  <si>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</si>
  <si>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</si>
  <si>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</si>
  <si>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</si>
  <si>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</si>
  <si>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</si>
  <si>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</si>
  <si>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</si>
  <si>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</si>
  <si>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</si>
  <si>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</si>
  <si>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</si>
  <si>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</si>
  <si>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</si>
  <si>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</si>
  <si>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</si>
  <si>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</si>
  <si>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</si>
  <si>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</si>
  <si>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</si>
  <si>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</si>
  <si>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</si>
  <si>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</si>
  <si>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</si>
  <si>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</si>
  <si>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</si>
  <si>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</si>
  <si>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</si>
  <si>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</si>
  <si>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</si>
  <si>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</si>
  <si>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</si>
  <si>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</si>
  <si>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</si>
  <si>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</si>
  <si>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</si>
  <si>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</si>
  <si>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</si>
  <si>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</si>
  <si>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</si>
  <si>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</si>
  <si>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</si>
  <si>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</si>
  <si>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</si>
  <si>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</si>
  <si>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</si>
  <si>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</si>
  <si>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</si>
  <si>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</si>
  <si>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</si>
  <si>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</si>
  <si>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</si>
  <si>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</si>
  <si>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</si>
  <si>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</si>
  <si>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</si>
  <si>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</si>
  <si>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</si>
  <si>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</si>
  <si>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</si>
  <si>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</si>
  <si>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</si>
  <si>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</si>
  <si>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</si>
  <si>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</si>
  <si>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</si>
  <si>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</si>
  <si>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</si>
  <si>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</si>
  <si>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</si>
  <si>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</si>
  <si>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</si>
  <si>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</si>
  <si>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</si>
  <si>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</si>
  <si>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</si>
  <si>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</si>
  <si>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</si>
  <si>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</si>
  <si>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</si>
  <si>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</si>
  <si>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</si>
  <si>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</si>
  <si>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</si>
  <si>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</si>
  <si>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</si>
  <si>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</si>
  <si>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</si>
  <si>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</si>
  <si>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</si>
  <si>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</si>
  <si>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</si>
  <si>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</si>
  <si>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</si>
  <si>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</si>
  <si>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</si>
  <si>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</si>
  <si>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</si>
  <si>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</si>
  <si>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</si>
  <si>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</si>
  <si>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</si>
  <si>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</si>
  <si>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</si>
  <si>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</si>
  <si>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</si>
  <si>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</si>
  <si>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</si>
  <si>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</si>
  <si>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</si>
  <si>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</si>
  <si>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</si>
  <si>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</si>
  <si>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</si>
  <si>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</si>
  <si>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</si>
  <si>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</si>
  <si>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</si>
  <si>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</si>
  <si>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</si>
  <si>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</si>
  <si>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</si>
  <si>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</si>
  <si>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</si>
  <si>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</si>
  <si>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</si>
  <si>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</si>
  <si>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</si>
  <si>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</si>
  <si>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</si>
  <si>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</si>
  <si>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</si>
  <si>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</si>
  <si>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</si>
  <si>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</si>
  <si>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</si>
  <si>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</si>
  <si>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</si>
  <si>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</si>
  <si>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</si>
  <si>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</si>
  <si>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</si>
  <si>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</si>
  <si>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</si>
  <si>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</si>
  <si>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</si>
  <si>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</si>
  <si>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</si>
  <si>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</si>
  <si>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</si>
  <si>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</si>
  <si>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</si>
  <si>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</si>
  <si>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</si>
  <si>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</si>
  <si>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</si>
  <si>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</si>
  <si>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</si>
  <si>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</si>
  <si>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</si>
  <si>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</si>
  <si>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</si>
  <si>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</si>
  <si>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</si>
  <si>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</si>
  <si>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</si>
  <si>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</si>
  <si>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</si>
  <si>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</si>
  <si>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</si>
  <si>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</si>
  <si>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</si>
  <si>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</si>
  <si>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</si>
  <si>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</si>
  <si>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</si>
  <si>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</si>
  <si>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</si>
  <si>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</si>
  <si>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</si>
  <si>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</si>
  <si>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</si>
  <si>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</si>
  <si>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</si>
  <si>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</si>
  <si>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</si>
  <si>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</si>
  <si>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</si>
  <si>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</si>
  <si>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</si>
  <si>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</si>
  <si>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</si>
  <si>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</si>
  <si>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</si>
  <si>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</si>
  <si>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</si>
  <si>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</si>
  <si>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</si>
  <si>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</si>
  <si>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</si>
  <si>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</si>
  <si>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</si>
  <si>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</si>
  <si>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</si>
  <si>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</si>
  <si>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</si>
  <si>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</si>
  <si>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</si>
  <si>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</si>
  <si>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</si>
  <si>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</si>
  <si>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</si>
  <si>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</si>
  <si>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</si>
  <si>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</si>
  <si>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</si>
  <si>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</si>
  <si>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</si>
  <si>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</si>
  <si>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</si>
  <si>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</si>
  <si>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</si>
  <si>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</si>
  <si>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</si>
  <si>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</si>
  <si>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</si>
  <si>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</si>
  <si>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</si>
  <si>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</si>
  <si>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</si>
  <si>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</si>
  <si>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</si>
  <si>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</si>
  <si>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</si>
  <si>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</si>
  <si>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</si>
  <si>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</si>
  <si>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</si>
  <si>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</si>
  <si>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</si>
  <si>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</si>
  <si>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</si>
  <si>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</si>
  <si>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</si>
  <si>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</si>
  <si>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</si>
  <si>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</si>
  <si>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</si>
  <si>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</si>
  <si>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</si>
  <si>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</si>
  <si>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</si>
  <si>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</si>
  <si>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</si>
  <si>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</si>
  <si>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</si>
  <si>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</si>
  <si>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</si>
  <si>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</si>
  <si>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</si>
  <si>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</si>
  <si>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</si>
  <si>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</si>
  <si>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</si>
  <si>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</si>
  <si>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</si>
  <si>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</si>
  <si>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</si>
  <si>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</si>
  <si>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</si>
  <si>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</si>
  <si>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</si>
  <si>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</si>
  <si>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</si>
  <si>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</si>
  <si>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</si>
  <si>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</si>
  <si>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</si>
  <si>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</si>
  <si>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</si>
  <si>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</si>
  <si>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</si>
  <si>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</si>
  <si>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</si>
  <si>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</si>
  <si>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</si>
  <si>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</si>
  <si>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</si>
  <si>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</si>
  <si>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</si>
  <si>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</si>
  <si>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</si>
  <si>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</si>
  <si>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</si>
  <si>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</si>
  <si>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</si>
  <si>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</si>
  <si>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</si>
  <si>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</si>
  <si>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</si>
  <si>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</si>
  <si>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</si>
  <si>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</si>
  <si>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</si>
  <si>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</si>
  <si>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</si>
  <si>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</si>
  <si>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</si>
  <si>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</si>
  <si>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</si>
  <si>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</si>
  <si>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</si>
  <si>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</si>
  <si>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</si>
  <si>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</si>
  <si>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</si>
  <si>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</si>
  <si>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</si>
  <si>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</si>
  <si>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</si>
  <si>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</si>
  <si>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</si>
  <si>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</si>
  <si>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</si>
  <si>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</si>
  <si>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</si>
  <si>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</si>
  <si>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</si>
  <si>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</si>
  <si>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</si>
  <si>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</si>
  <si>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</si>
  <si>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</si>
  <si>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</si>
  <si>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</si>
  <si>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</si>
  <si>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</si>
  <si>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</si>
  <si>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</si>
  <si>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</si>
  <si>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</si>
  <si>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</si>
  <si>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</si>
  <si>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</si>
  <si>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</si>
  <si>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</si>
  <si>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</si>
  <si>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</si>
  <si>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</si>
  <si>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</si>
  <si>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</si>
  <si>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</si>
  <si>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</si>
  <si>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</si>
  <si>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</si>
  <si>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</si>
  <si>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</si>
  <si>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</si>
  <si>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</si>
  <si>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</si>
  <si>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</si>
  <si>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</si>
  <si>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</si>
  <si>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</si>
  <si>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</si>
  <si>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</si>
  <si>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</si>
  <si>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</si>
  <si>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</si>
  <si>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</si>
  <si>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</si>
  <si>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</si>
  <si>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</si>
  <si>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</si>
  <si>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</si>
  <si>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</si>
  <si>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</si>
  <si>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</si>
  <si>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</si>
  <si>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</si>
  <si>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</si>
  <si>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</si>
  <si>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</si>
  <si>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</si>
  <si>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</si>
  <si>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</si>
  <si>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</si>
  <si>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</si>
  <si>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</si>
  <si>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</si>
  <si>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</si>
  <si>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</si>
  <si>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</si>
  <si>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</si>
  <si>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</si>
  <si>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</si>
  <si>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</si>
  <si>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</si>
  <si>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</si>
  <si>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</si>
  <si>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</si>
  <si>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</si>
  <si>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</si>
  <si>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</si>
  <si>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</si>
  <si>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</si>
  <si>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</si>
  <si>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</si>
  <si>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</si>
  <si>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</si>
  <si>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</si>
  <si>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</si>
  <si>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</si>
  <si>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</si>
  <si>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</si>
  <si>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</si>
  <si>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</si>
  <si>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</si>
  <si>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</si>
  <si>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</si>
  <si>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</si>
  <si>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</si>
  <si>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</si>
  <si>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</si>
  <si>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</si>
  <si>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</si>
  <si>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</si>
  <si>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</si>
  <si>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</si>
  <si>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</si>
  <si>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</si>
  <si>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</si>
  <si>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</si>
  <si>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</si>
  <si>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</si>
  <si>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</si>
  <si>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</si>
  <si>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</si>
  <si>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</si>
  <si>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</si>
  <si>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</si>
  <si>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</si>
  <si>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Field</t>
  </si>
  <si>
    <t>Definition</t>
  </si>
  <si>
    <t>Source / Filled Status</t>
  </si>
  <si>
    <t>Notes</t>
  </si>
  <si>
    <t>Unique app-facing ID for each data source.</t>
  </si>
  <si>
    <t>Prefilled from row order.</t>
  </si>
  <si>
    <t>Use stable ID for joins and issue tracking.</t>
  </si>
  <si>
    <t>Name of source or program.</t>
  </si>
  <si>
    <t>Prefilled from Word file.</t>
  </si>
  <si>
    <t>Required.</t>
  </si>
  <si>
    <t>Display text from the Word file official link column.</t>
  </si>
  <si>
    <t>Keep as human-readable label.</t>
  </si>
  <si>
    <t>Plain-text URL extracted from hyperlink in the Word file.</t>
  </si>
  <si>
    <t>Prefilled if hyperlink exists in Word file.</t>
  </si>
  <si>
    <t>Verify before public release.</t>
  </si>
  <si>
    <t>Narrative description of major data content and use.</t>
  </si>
  <si>
    <t>Primary text searched by the app.</t>
  </si>
  <si>
    <t>Original access-level wording from Word file.</t>
  </si>
  <si>
    <t>Keep for traceability.</t>
  </si>
  <si>
    <t>Controlled access label used by filters.</t>
  </si>
  <si>
    <t>Blank.</t>
  </si>
  <si>
    <t>Choose from Dropdowns.</t>
  </si>
  <si>
    <t>Practical effort required to access source.</t>
  </si>
  <si>
    <t>Low/Medium/High/Unknown.</t>
  </si>
  <si>
    <t>Main topic category for app navigation.</t>
  </si>
  <si>
    <t>Choose one best-fit category.</t>
  </si>
  <si>
    <t>Additional topic tags separated by semicolons.</t>
  </si>
  <si>
    <t>Allows multi-category search.</t>
  </si>
  <si>
    <t>Curated keywords and synonyms separated by semicolons.</t>
  </si>
  <si>
    <t>Most important field for search quality.</t>
  </si>
  <si>
    <t>Survey, registry, claims, EHR, imaging, etc.</t>
  </si>
  <si>
    <t>Disease/topic domains covered.</t>
  </si>
  <si>
    <t>Can overlap with categories.</t>
  </si>
  <si>
    <t>Study population covered by source.</t>
  </si>
  <si>
    <t>Example: adults, youth, women, veterans, Medicare beneficiaries.</t>
  </si>
  <si>
    <t>Broad geographic coverage.</t>
  </si>
  <si>
    <t>Example: United States, South Carolina, global.</t>
  </si>
  <si>
    <t>Smallest common geographic unit.</t>
  </si>
  <si>
    <t>Example: county, tract, ZIP/ZCTA, state.</t>
  </si>
  <si>
    <t>Observation level of data.</t>
  </si>
  <si>
    <t>Individual, patient, county, provider, country, etc.</t>
  </si>
  <si>
    <t>Whether data include person/patient records.</t>
  </si>
  <si>
    <t>Yes/No/Unknown.</t>
  </si>
  <si>
    <t>Whether data support geography-level analysis.</t>
  </si>
  <si>
    <t>Whether repeated measures across time are available.</t>
  </si>
  <si>
    <t>Time period available.</t>
  </si>
  <si>
    <t>Example: 2010-2024.</t>
  </si>
  <si>
    <t>How often source is updated.</t>
  </si>
  <si>
    <t>Example: annual, quarterly, irregular.</t>
  </si>
  <si>
    <t>Ease of linking with other sources.</t>
  </si>
  <si>
    <t>High/Medium/Low/Unknown.</t>
  </si>
  <si>
    <t>Usefulness for SC/ClinTrUSC studies.</t>
  </si>
  <si>
    <t>Important variables/measures investigators may use.</t>
  </si>
  <si>
    <t>Semicolon-separated.</t>
  </si>
  <si>
    <t>Example studies the source can support.</t>
  </si>
  <si>
    <t>Useful for demo cards.</t>
  </si>
  <si>
    <t>Other sources often paired with this source.</t>
  </si>
  <si>
    <t>Semicolon-separated source names.</t>
  </si>
  <si>
    <t>Known constraints, denominator concerns, reporting caveats.</t>
  </si>
  <si>
    <t>Useful for RDCD review.</t>
  </si>
  <si>
    <t>IRB, DUA, registration, credentialing, privacy notes.</t>
  </si>
  <si>
    <t>Do not overstate access.</t>
  </si>
  <si>
    <t>Internal triage notes and recommended next step.</t>
  </si>
  <si>
    <t>Optional.</t>
  </si>
  <si>
    <t>Whether source should appear in retreat/demo examples.</t>
  </si>
  <si>
    <t>Yes/No/Candidate.</t>
  </si>
  <si>
    <t>Most recent date source information was verified.</t>
  </si>
  <si>
    <t>Use yyyy-mm-dd.</t>
  </si>
  <si>
    <t>Person who verified source information.</t>
  </si>
  <si>
    <t>Useful for maintenance.</t>
  </si>
  <si>
    <t>Curation priority.</t>
  </si>
  <si>
    <t>High/Medium/Low.</t>
  </si>
  <si>
    <t>Curation status.</t>
  </si>
  <si>
    <t>Needs review/In progress/Complete/Do not use.</t>
  </si>
  <si>
    <t>Formula-generated text used by app search.</t>
  </si>
  <si>
    <t>Formula.</t>
  </si>
  <si>
    <t>Combines source, narrative, categories, tags, and keywords.</t>
  </si>
  <si>
    <t>Yes/No</t>
  </si>
  <si>
    <t>SC Relevance</t>
  </si>
  <si>
    <t>Demo Include</t>
  </si>
  <si>
    <t>In progress</t>
  </si>
  <si>
    <t>State-level</t>
  </si>
  <si>
    <t>Do not use</t>
  </si>
  <si>
    <t>City</t>
  </si>
  <si>
    <t>Hospital/provider</t>
  </si>
  <si>
    <t>Category</t>
  </si>
  <si>
    <t>Core Keywords</t>
  </si>
  <si>
    <t>Synonyms / Related Terms</t>
  </si>
  <si>
    <t>Example Sources</t>
  </si>
  <si>
    <t>diabetes; obesity; hypertension; cardiovascular; asthma; COPD; cancer screening; prevalence; prevention</t>
  </si>
  <si>
    <t>heart disease; CVD; metabolic; cardiometabolic</t>
  </si>
  <si>
    <t>NHANES; BRFSS; CDC PLACES; CDC WONDER</t>
  </si>
  <si>
    <t>cancer; tumor; oncology; incidence; survival; mortality; staging; treatment; recurrence</t>
  </si>
  <si>
    <t>malignancy; neoplasm; SEER; TCGA</t>
  </si>
  <si>
    <t>SEER; GDC/TCGA; TCIA; CDC WONDER</t>
  </si>
  <si>
    <t>aging; retirement; cognition; disability; frailty; Medicare; older adults; long-term care</t>
  </si>
  <si>
    <t>elderly; older; geriatric</t>
  </si>
  <si>
    <t>HRS; WHI; Medicare/CMS; Framingham</t>
  </si>
  <si>
    <t>birth; natality; pregnancy; maternal; infant; child; adolescent; youth; school</t>
  </si>
  <si>
    <t>perinatal; postpartum; pediatric</t>
  </si>
  <si>
    <t>CDC WONDER; YRBSS; SCANDHEC</t>
  </si>
  <si>
    <t>mental health; depression; anxiety; suicide; treatment; client-level; behavioral health</t>
  </si>
  <si>
    <t>psychiatric; psychological</t>
  </si>
  <si>
    <t>NSDUH; MH-CLD; CDC WONDER</t>
  </si>
  <si>
    <t>opioid; substance use; alcohol; tobacco; drug; overdose; treatment admissions; treatment discharges</t>
  </si>
  <si>
    <t>SUD; addiction; TEDS</t>
  </si>
  <si>
    <t>NSDUH; TEDS; SC DPH; CDC WONDER</t>
  </si>
  <si>
    <t>HIV; hepatitis; STD; STI; tuberculosis; PrEP; diagnosis; prevalence; care</t>
  </si>
  <si>
    <t>viral; infectious; NCHHSTP</t>
  </si>
  <si>
    <t>CDC AtlasPlus; AIDSVu; AHEAD HIV Dashboard</t>
  </si>
  <si>
    <t>utilization; cost; expenditure; insurance; access; provider; enrollment; payment; quality</t>
  </si>
  <si>
    <t>claims; MEPS; CMS; HCUP</t>
  </si>
  <si>
    <t>MEPS; CMS Data; ResDAC; HCUP</t>
  </si>
  <si>
    <t>claims; Medicare; Medicaid; provider; payment; enrollment; quality; beneficiaries; hospital</t>
  </si>
  <si>
    <t>payer; reimbursement</t>
  </si>
  <si>
    <t>CMS Data; ResDAC; SCDHHS; SC Health Data</t>
  </si>
  <si>
    <t>EHR; electronic health record; clinical; diagnosis; labs; medications; encounter; ICU; hospital</t>
  </si>
  <si>
    <t>EMR; patient-level; real-world data</t>
  </si>
  <si>
    <t>N3C; MIMIC-IV; All of Us; Synthea</t>
  </si>
  <si>
    <t>genomics; genotype; phenotype; molecular; transcriptomics; gene expression; biospecimen</t>
  </si>
  <si>
    <t>omics; sequencing; genetic</t>
  </si>
  <si>
    <t>dbGaP; GDC/TCGA; GEO; All of Us</t>
  </si>
  <si>
    <t>imaging; MRI; CT; radiology; pathology; neuroimaging; cancer imaging</t>
  </si>
  <si>
    <t>image; DICOM; scan</t>
  </si>
  <si>
    <t>TCIA; ADNI; UK Biobank</t>
  </si>
  <si>
    <t>trial; intervention; sponsor; outcomes; arms; eligibility; recruitment; location</t>
  </si>
  <si>
    <t>study registry; protocol</t>
  </si>
  <si>
    <t>ClinicalTrials.gov; BioLINCC</t>
  </si>
  <si>
    <t>poverty; income; education; housing; transportation; vulnerability; social determinants; census tract; neighborhood</t>
  </si>
  <si>
    <t>deprivation; social risk; SVI; ACS</t>
  </si>
  <si>
    <t>ACS; SVI; AHRQ SDOH; County Health Rankings</t>
  </si>
  <si>
    <t>air quality; heat; water; toxic release; hazardous waste; exposure; asthma; monitor; environment</t>
  </si>
  <si>
    <t>pollution; climate; EPA</t>
  </si>
  <si>
    <t>CDC Tracking; EPA Envirofacts; EPA AQS</t>
  </si>
  <si>
    <t>food access; food stores; nutrition; diet; SNAP; restaurants; local foods; food insecurity</t>
  </si>
  <si>
    <t>grocery; healthy food; USDA</t>
  </si>
  <si>
    <t>USDA Food Environment Atlas; NHANES</t>
  </si>
  <si>
    <t>rural; urban; metro; nonmetro; county classification; RUCC; frontier</t>
  </si>
  <si>
    <t>rural-urban; geography</t>
  </si>
  <si>
    <t>USDA RUCC; ACS; County Health Rankings</t>
  </si>
  <si>
    <t>South Carolina; SC; Midlands; county; state; DPH; DHEC; Medicaid; FQHC; hospitals</t>
  </si>
  <si>
    <t>local; regional</t>
  </si>
  <si>
    <t>SC DPH; SCANDHEC; SCDHHS; SC Health Data</t>
  </si>
  <si>
    <t>global; country; international; WHO; World Bank; OECD; GBD; mortality; burden of disease</t>
  </si>
  <si>
    <t>worldwide; comparative</t>
  </si>
  <si>
    <t>WHO GHO; World Bank; IHME GBD; OECD</t>
  </si>
  <si>
    <t>synthetic; simulation; methods; testing; EHR simulator; model development; pipeline testing</t>
  </si>
  <si>
    <t>fake data; validation</t>
  </si>
  <si>
    <t>Scenario ID</t>
  </si>
  <si>
    <t>Research Question / User Input</t>
  </si>
  <si>
    <t>Example Keywords</t>
  </si>
  <si>
    <t>Recommended Filters</t>
  </si>
  <si>
    <t>Expected Candidate Sources</t>
  </si>
  <si>
    <t>Demo Output Goal</t>
  </si>
  <si>
    <t>DEMO-001</t>
  </si>
  <si>
    <t>Diabetes outcomes in rural South Carolina communities with interest in social vulnerability and food access.</t>
  </si>
  <si>
    <t>diabetes; rural; South Carolina; social vulnerability; food access; Medicaid</t>
  </si>
  <si>
    <t>Category: Chronic disease + SDOH/geospatial; Geography: SC/county/tract; Access: Open/public</t>
  </si>
  <si>
    <t>CDC PLACES; CDC/ATSDR SVI; ACS; USDA Food Environment Atlas; USDA RUCC; County Health Rankings; SC DPH</t>
  </si>
  <si>
    <t>Show ranked matches plus companion dataset suggestions.</t>
  </si>
  <si>
    <t>DEMO-002</t>
  </si>
  <si>
    <t>Cancer outcomes, imaging, and genomics resources for population and translational research.</t>
  </si>
  <si>
    <t>cancer; genomics; imaging; survival; tumor; TCGA; SEER</t>
  </si>
  <si>
    <t>Category: Cancer + Genomics/molecular + Imaging; Access: Open/public or controlled</t>
  </si>
  <si>
    <t>SEER; GDC/TCGA; TCIA; dbGaP; BioLINCC; WHI</t>
  </si>
  <si>
    <t>Show access burden differences between open, registered, and controlled sources.</t>
  </si>
  <si>
    <t>DEMO-003</t>
  </si>
  <si>
    <t>Substance use, mental health, overdose, and treatment patterns with possible South Carolina relevance.</t>
  </si>
  <si>
    <t>opioid; overdose; substance use; mental health; treatment; South Carolina</t>
  </si>
  <si>
    <t>Category: Substance use + Mental health; Geography: US/SC; Access: Open/public</t>
  </si>
  <si>
    <t>SAMHSA NSDUH; SAMHSA TEDS; SAMHSA MH-CLD; CDC WONDER; SC DPH</t>
  </si>
  <si>
    <t>Show how filters narrow from broad national datasets to feasible public-use sources.</t>
  </si>
  <si>
    <t>DEMO-004</t>
  </si>
  <si>
    <t>Health care utilization, insurance, cost, and hospital/provider patterns.</t>
  </si>
  <si>
    <t>utilization; cost; insurance; hospital; Medicare; Medicaid; provider; claims</t>
  </si>
  <si>
    <t>Category: Utilization/cost + Claims/payment/provider; Access: Open/public or restricted</t>
  </si>
  <si>
    <t>MEPS; CMS Data; ResDAC; HCUP; Healthcare.gov PUFs; SCDHHS; SC Health Data</t>
  </si>
  <si>
    <t>Show feasibility tradeoff between public dashboards and restricted research data.</t>
  </si>
  <si>
    <t>Component</t>
  </si>
  <si>
    <t>Default Weight</t>
  </si>
  <si>
    <t>How used in MVP</t>
  </si>
  <si>
    <t>Free-text/keyword match</t>
  </si>
  <si>
    <t>Counts keyword hits in Data Source, Main Data Type / Use, tags, and curated keywords.</t>
  </si>
  <si>
    <t>Core search driver.</t>
  </si>
  <si>
    <t>Category match</t>
  </si>
  <si>
    <t>Boosts sources whose Primary Category or tags match selected categories.</t>
  </si>
  <si>
    <t>Relies on curation.</t>
  </si>
  <si>
    <t>Data type match</t>
  </si>
  <si>
    <t>Boosts selected standardized data types.</t>
  </si>
  <si>
    <t>Example: survey, EHR, claims, geospatial.</t>
  </si>
  <si>
    <t>Geography match</t>
  </si>
  <si>
    <t>Boosts sources matching geography filters.</t>
  </si>
  <si>
    <t>Important for SC demos.</t>
  </si>
  <si>
    <t>Access fit</t>
  </si>
  <si>
    <t>Boosts low-burden/open sources if user selects open-only.</t>
  </si>
  <si>
    <t>Important for feasibility.</t>
  </si>
  <si>
    <t>Linkage/companion potential</t>
  </si>
  <si>
    <t>Boosts sources marked as high linkage potential.</t>
  </si>
  <si>
    <t>Optional for MVP.</t>
  </si>
  <si>
    <t>RDCD/demo priority</t>
  </si>
  <si>
    <t>Boosts sources marked for demo or high priority.</t>
  </si>
  <si>
    <t>Optional manual tuning.</t>
  </si>
  <si>
    <t>Step</t>
  </si>
  <si>
    <t>Task</t>
  </si>
  <si>
    <t>Owner</t>
  </si>
  <si>
    <t>Deliverable</t>
  </si>
  <si>
    <t>Confirm app purpose and audience: RDCD internal triage, public-facing navigator, or retreat demo.</t>
  </si>
  <si>
    <t>One-sentence app scope statement.</t>
  </si>
  <si>
    <t>Not started</t>
  </si>
  <si>
    <t>Clean the data catalog and complete required metadata for 10-15 priority datasets.</t>
  </si>
  <si>
    <t>Completed MVP rows in Data_Prep.</t>
  </si>
  <si>
    <t>Standardize controlled vocabularies for categories, data type, geography, and access burden.</t>
  </si>
  <si>
    <t>Approved Dropdowns and Category_Keywords sheets.</t>
  </si>
  <si>
    <t>Define two to four demo research questions and expected top matches.</t>
  </si>
  <si>
    <t>Final Demo_Scenarios sheet.</t>
  </si>
  <si>
    <t>Build the Shiny MVP with keyword search, filters, ranked results, and a data-fit summary.</t>
  </si>
  <si>
    <t>Runnable Rmd/Shiny prototype.</t>
  </si>
  <si>
    <t>Validate search quality against demo scenarios and revise keywords/categories.</t>
  </si>
  <si>
    <t>Feasibility test results and revisions.</t>
  </si>
  <si>
    <t>Add optional AI-assisted keyword expansion and plain-language explanations.</t>
  </si>
  <si>
    <t>AI/visualization enhancement plan.</t>
  </si>
  <si>
    <t>Prepare retreat demonstration script and screenshots.</t>
  </si>
  <si>
    <t>2-minute demo flow and backup slides.</t>
  </si>
  <si>
    <t>Test Area</t>
  </si>
  <si>
    <t>Test Question</t>
  </si>
  <si>
    <t>Test Method</t>
  </si>
  <si>
    <t>Acceptance Criteria</t>
  </si>
  <si>
    <t>Result / Notes</t>
  </si>
  <si>
    <t>Data completeness</t>
  </si>
  <si>
    <t>Do all Word file sources appear in the template?</t>
  </si>
  <si>
    <t>Compare row count against source Word table.</t>
  </si>
  <si>
    <t>58 source rows loaded.</t>
  </si>
  <si>
    <t>Required fields</t>
  </si>
  <si>
    <t>Are the source name, link text, URL, narrative, and raw access level populated where available?</t>
  </si>
  <si>
    <t>Spot-check first 10 and SC-specific rows.</t>
  </si>
  <si>
    <t>No missing values introduced during import except absent source information.</t>
  </si>
  <si>
    <t>Keyword search</t>
  </si>
  <si>
    <t>Does a simple search return expected candidate datasets?</t>
  </si>
  <si>
    <t>Search diabetes/rural/SC; cancer/genomics; opioid/mental health.</t>
  </si>
  <si>
    <t>Expected top sources appear in first 10 results.</t>
  </si>
  <si>
    <t>Filter behavior</t>
  </si>
  <si>
    <t>Do category, geography, data type, and access filters narrow results correctly?</t>
  </si>
  <si>
    <t>Apply one filter at a time and then combined filters.</t>
  </si>
  <si>
    <t>Results shrink logically and no selected source disappears unexpectedly.</t>
  </si>
  <si>
    <t>Ranking quality</t>
  </si>
  <si>
    <t>Are high-fit datasets ranked above weak-fit datasets?</t>
  </si>
  <si>
    <t>Review demo scenarios with RDCD subject-matter expert.</t>
  </si>
  <si>
    <t>At least 80% of expected sources appear in top 10 for each demo.</t>
  </si>
  <si>
    <t>Explanation quality</t>
  </si>
  <si>
    <t>Does “why matched” give useful transparent reasons?</t>
  </si>
  <si>
    <t>Review matched keywords and category/access rationale.</t>
  </si>
  <si>
    <t>Explanation references true metadata fields and avoids overclaiming.</t>
  </si>
  <si>
    <t>Access-level safety</t>
  </si>
  <si>
    <t>Does the app distinguish open from restricted/controlled sources?</t>
  </si>
  <si>
    <t>Run open-only and restricted-inclusive searches.</t>
  </si>
  <si>
    <t>Restricted sources are clearly labeled and not presented as immediately downloadable.</t>
  </si>
  <si>
    <t>Usability</t>
  </si>
  <si>
    <t>Can a new user complete a search in less than 2 minutes?</t>
  </si>
  <si>
    <t>Observe 3-5 test users.</t>
  </si>
  <si>
    <t>Users understand inputs, filters, and outputs without coaching.</t>
  </si>
  <si>
    <t>Export</t>
  </si>
  <si>
    <t>Can selected results and data-fit summary be downloaded?</t>
  </si>
  <si>
    <t>Click download buttons and inspect files.</t>
  </si>
  <si>
    <t>CSV/summary files open and contain current search results.</t>
  </si>
  <si>
    <t>Demo readiness</t>
  </si>
  <si>
    <t>Can the prototype run locally without errors?</t>
  </si>
  <si>
    <t>Run Rmd from a fresh R session.</t>
  </si>
  <si>
    <t>App loads workbook and demo scenarios successfully.</t>
  </si>
  <si>
    <t>CDC EPHTrackR R package / Tracking API</t>
  </si>
  <si>
    <t>Daily Census Tract-Level PM2.5 Concentrations, 2016-2020</t>
  </si>
  <si>
    <t>CDC WONDER Environmental Data</t>
  </si>
  <si>
    <t>CDC Heat and Health Tracker</t>
  </si>
  <si>
    <t>CDC/ATSDR Environmental Justice Index (EJI)</t>
  </si>
  <si>
    <t>EPA EnviroAtlas</t>
  </si>
  <si>
    <t>EPA EJScreen</t>
  </si>
  <si>
    <t>EPA AirData</t>
  </si>
  <si>
    <t>EPA AQS API</t>
  </si>
  <si>
    <t>EPA AirToxScreen</t>
  </si>
  <si>
    <t>EPA National Emissions Inventory (NEI)</t>
  </si>
  <si>
    <t>EPA Toxics Release Inventory (TRI)</t>
  </si>
  <si>
    <t>EPA Risk-Screening Environmental Indicators (RSEI)</t>
  </si>
  <si>
    <t>EPA Enforcement and Compliance History Online (ECHO)</t>
  </si>
  <si>
    <t>EPA Facility Registry Service (FRS)</t>
  </si>
  <si>
    <t>EPA Superfund Data and Reports / NPL Sites</t>
  </si>
  <si>
    <t>EPA Brownfields Site Information</t>
  </si>
  <si>
    <t>Water Quality Portal (WQP)</t>
  </si>
  <si>
    <t>EPA WATERS Geospatial Data</t>
  </si>
  <si>
    <t>USGS Water Data for the Nation / NWIS</t>
  </si>
  <si>
    <t>NOAA Climate Data Online (CDO)</t>
  </si>
  <si>
    <t>NOAA nClimGrid Daily / EpiNOAA County Dataset</t>
  </si>
  <si>
    <t>PRISM Climate Data</t>
  </si>
  <si>
    <t>gridMET</t>
  </si>
  <si>
    <t>NOAA Storm Events Database</t>
  </si>
  <si>
    <t>FEMA National Risk Index</t>
  </si>
  <si>
    <t>USGS / MRLC National Land Cover Database (NLCD)</t>
  </si>
  <si>
    <t>USGS Protected Areas Database of the U.S. (PAD-US)</t>
  </si>
  <si>
    <t>USGS Estimated Annual Agricultural Pesticide Use</t>
  </si>
  <si>
    <t>South Carolina Department of Environmental Services GIS Hub</t>
  </si>
  <si>
    <t>South Carolina Water Monitoring Portal</t>
  </si>
  <si>
    <t>South Carolina Department of Natural Resources GIS Open Data</t>
  </si>
  <si>
    <t>South Carolina DPH Data, Maps, Reports</t>
  </si>
  <si>
    <t>CDC</t>
  </si>
  <si>
    <t>CDC / GitHub</t>
  </si>
  <si>
    <t>CDC Tracking Network</t>
  </si>
  <si>
    <t>EPA</t>
  </si>
  <si>
    <t>EPA / ArcGIS / Data.gov</t>
  </si>
  <si>
    <t>EPA / Data.gov</t>
  </si>
  <si>
    <t>USGS / EPA / NWQMC</t>
  </si>
  <si>
    <t>USGS</t>
  </si>
  <si>
    <t>USGS / MRLC</t>
  </si>
  <si>
    <t>USDA ERS</t>
  </si>
  <si>
    <t>SC Sea Grant / College of Charleston</t>
  </si>
  <si>
    <t>CDCgov/EPHTrackR: R interface to the CDC National Public Health Tracking Network API</t>
  </si>
  <si>
    <t>Daily Census Tract-Level PM2.5 Concentrations, 2016 - 2020 | Data | Centers for Disease Control and Prevention</t>
  </si>
  <si>
    <t>Geospatial environmental, demographic, ecosystem services, land cover, green space, heat, and community indicators.</t>
  </si>
  <si>
    <t>https://www.epa.gov/enviroatlas</t>
  </si>
  <si>
    <t>Environmental data query system with place, time, and measure dimensions.</t>
  </si>
  <si>
    <t>SDOH/geospatial; Climate; Air quality; Environmental monitoring; Area-level data; Historical data</t>
  </si>
  <si>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</si>
  <si>
    <t>Air temperature; heat index; extreme heat; heat waves; PM2.5; outdoor air quality; land surface temperature; sunlight; solar irradiation; precipitation</t>
  </si>
  <si>
    <t>Residents of the 48 contiguous United States, represented through county-level environmental exposure measures</t>
  </si>
  <si>
    <t>Varies by dataset; 1979–2011 overall</t>
  </si>
  <si>
    <t>Static/historical; no regular refresh indicated</t>
  </si>
  <si>
    <t>Daily air temperature; minimum and maximum temperature; heat index; degree days; PM2.5 concentration; land surface temperature; sunlight/solar irradiation; precipitation; heat-wave days; date; state; county; number of observations; range; standard deviation</t>
  </si>
  <si>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</si>
  <si>
    <t>CDC WONDER mortality and natality data; CDC Environmental Public Health Tracking Network; EPA Air Quality System/AirData; EPA EnviroAtlas; NOAA climate data; U.S. Census population estimates; American Community Survey; CDC/ATSDR Social Vulnerability Index</t>
  </si>
  <si>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</si>
  <si>
    <t>Public aggregate data for statistical reporting and analysis; users must accept CDC WONDER data-use restrictions; do not attempt to identify individuals or link data for re-identification; cite the relevant source dataset and methodology when publishing results.</t>
  </si>
  <si>
    <t>Interactive dashboard integrating local heat exposure, heat-related health outcomes, community vulnerability, and preparedness information to support extreme-heat surveillance, planning, and response.</t>
  </si>
  <si>
    <t>Public interactive dashboard; related Tracking Network data may also be accessed through maps, tables, Quick Reports, downloads, and API services.</t>
  </si>
  <si>
    <t>Climate; Extreme heat; Heat-related illness; SDOH/geospatial; Emergency preparedness; Environmental health surveillance; Community vulnerability; Area-level data</t>
  </si>
  <si>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</si>
  <si>
    <t>Extreme heat; heat exposure; temperature; heat index; HeatRisk forecasts; heat-related emergency department visits; heat-related hospitalizations; heat-related mortality; heat vulnerability; climate projections; community preparedness</t>
  </si>
  <si>
    <t>Residents of the United States, including populations vulnerable to heat-related health effects such as older adults, young children, pregnant people, outdoor workers, athletes, and people with chronic health conditions.</t>
  </si>
  <si>
    <t>County/Zip Code/HHS Region, depending on indicator</t>
  </si>
  <si>
    <t>Varies by indicator; includes historical, near-real-time, 7-day forecast, and future-projection data</t>
  </si>
  <si>
    <t>Ongoing; daily or near-real-time for selected measures, with periodic updates for historical and vulnerability indicators</t>
  </si>
  <si>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</si>
  <si>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</si>
  <si>
    <t>CDC Environmental Public Health Tracking Network; National Syndromic Surveillance Program; National Weather Service HeatRisk; CDC Heat and Health Index; CDC/ATSDR Social Vulnerability Index; NOAA climate data; American Community Survey; CDC WONDER mortality data; EPA AirNow</t>
  </si>
  <si>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</si>
  <si>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</si>
  <si>
    <t>https://www.atsdr.cdc.gov/place-health/php/eji/index.html</t>
  </si>
  <si>
    <t>National census-tract-level index for identifying communities experiencing cumulative environmental, social, and health burdens and supporting environmental justice, health equity, resource allocation, and place-based public health research.</t>
  </si>
  <si>
    <t>Public interactive map and downloadable census-tract data in CSV, Excel, and geodatabase formats</t>
  </si>
  <si>
    <t>Environmental exposure; Health equity; Environmental justice; Social vulnerability; Community vulnerability; Climate; Built environment; Area-level data; Health disparities</t>
  </si>
  <si>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</si>
  <si>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</si>
  <si>
    <t>Residents of census tracts in the continental United States, represented through community-level environmental, social, health, and climate indicators</t>
  </si>
  <si>
    <t>2022 and 2024 editions; indicator reference years vary by source</t>
  </si>
  <si>
    <t>Approximately every two years</t>
  </si>
  <si>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</si>
  <si>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</si>
  <si>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</si>
  <si>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</si>
  <si>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</si>
  <si>
    <t xml:space="preserve">NS </t>
  </si>
  <si>
    <t>Census block group</t>
  </si>
  <si>
    <t>Version 2.3 released in 2024; underlying source years vary, primarily 2018–2023</t>
  </si>
  <si>
    <t>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t>
  </si>
  <si>
    <t>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t>
  </si>
  <si>
    <t>Environmental justice screening and mapping tool combining nationally consistent environmental burden, socioeconomic, demographic, health-disparity, climate, and service-gap indicators to identify communities that may warrant additional analysis, outreach, or public-health attention.</t>
  </si>
  <si>
    <t>Public mapping and screening tool with publicly available technical documentation and area-level results; availability of the original interactive application and bulk downloads should be verified for the intended analysis.</t>
  </si>
  <si>
    <t>SDOH/geospatial; Environmental justice; Social vulnerability; Health equity; Air pollution; Hazardous sites; Drinking water; Built environment; Health disparities; Climate; Area-level data</t>
  </si>
  <si>
    <t>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t>
  </si>
  <si>
    <t>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t>
  </si>
  <si>
    <t>Residents of the United States and included U.S. territories, represented through community-level environmental, socioeconomic, demographic, and health indicators</t>
  </si>
  <si>
    <t>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t>
  </si>
  <si>
    <t>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t>
  </si>
  <si>
    <t>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t>
  </si>
  <si>
    <t>Public portal for downloading, querying, mapping, visualizing, and summarizing recent and historical ambient air-quality measurements collected at outdoor monitoring sites across the United States.</t>
  </si>
  <si>
    <t>Public web reports, visualizations, maps, downloadable files, and API access; an API key is required for customized AQS API queries.</t>
  </si>
  <si>
    <t>Air quality; Environmental monitoring; SDOH/geospatial; Ambient air pollution; Exposure assessment; Regulatory monitoring; Area-level data; Time-series data</t>
  </si>
  <si>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</si>
  <si>
    <t>Ambient air quality; PM2.5; PM10; ozone; nitrogen dioxide; sulfur dioxide; carbon monoxide; lead; air toxics; hazardous air pollutants; particle speciation; Air Quality Index; meteorology; regulatory monitoring</t>
  </si>
  <si>
    <t>Residents and populations living near covered outdoor air-monitoring locations in the United States, Puerto Rico, and the U.S. Virgin Islands</t>
  </si>
  <si>
    <t>Monitoring site; county; city/CBSA; state</t>
  </si>
  <si>
    <t>Varies by pollutant and monitor; measurements extend back to 1957, with greater national consistency beginning around 1980; standard downloadable files generally available from 1990 onward</t>
  </si>
  <si>
    <t>Ongoing; AQS Data Mart updated weekly, with pre-generated files updated twice annually</t>
  </si>
  <si>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</si>
  <si>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</si>
  <si>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</si>
  <si>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</si>
  <si>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</si>
  <si>
    <t>Programmatic access method for customized retrieval of data from EPA’s Air Quality System, the same underlying monitoring repository represented by EPA AirData.</t>
  </si>
  <si>
    <t>Same as EPA AirData</t>
  </si>
  <si>
    <t>National screening assessment that models ambient concentrations, population exposures, lifetime cancer risks, and chronic noncancer hazards associated with hazardous air pollutants to help identify pollutants, emission sources, and locations that may warrant further study.</t>
  </si>
  <si>
    <t>Public website, mapping tool, technical documentation, and downloadable national and state-level assessment files</t>
  </si>
  <si>
    <t>Air quality; Air toxics; Hazardous air pollutants; Exposure modeling; Cancer risk; Health risk screening; Environmental justice; SDOH/geospatial; Area-level data</t>
  </si>
  <si>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</si>
  <si>
    <t>Hazardous air pollutants; air toxics; ambient concentrations; inhalation exposure; lifetime cancer risk; respiratory noncancer hazards; point-source emissions; mobile-source emissions; nonpoint emissions; wildfire and fire emissions; background pollution; environmental health disparities</t>
  </si>
  <si>
    <t>Residents of the United States, represented through modeled population exposure to outdoor hazardous air pollutants at small-area geographic levels</t>
  </si>
  <si>
    <t>Census block; census tract; county; state, depending on assessment year and output</t>
  </si>
  <si>
    <t>Annual AirToxScreen assessments beginning with 2017; latest verified assessment year is 2020; earlier comparable NATA assessments are available separately</t>
  </si>
  <si>
    <t>Annual assessment program; releases lag the emissions year because of inventory development, modeling, review, and quality assurance</t>
  </si>
  <si>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</si>
  <si>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</si>
  <si>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</si>
  <si>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</si>
  <si>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</si>
  <si>
    <t>https://www.epa.gov/air-emissions-inventories/national-emissions-inventory-nei</t>
  </si>
  <si>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</si>
  <si>
    <t>Public webpages, downloadable inventory files, summaries, technical documentation, and online retrieval tools</t>
  </si>
  <si>
    <t>Air emissions; Air quality; Hazardous air pollutants; Criteria pollutants; Industrial facilities; Mobile sources; Fires; Source inventory; Environmental modeling; Area-level data</t>
  </si>
  <si>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</si>
  <si>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</si>
  <si>
    <t>Residents of the United States and territories potentially affected by air emissions from inventoried sources</t>
  </si>
  <si>
    <t>Facility; emission unit; county; Tribal area; state, depending on source category and file</t>
  </si>
  <si>
    <t>Full triennial inventories available for multiple years from 1990 through 2020; 2023 release pending or in final publication process as of 2026; additional annual modeling platforms and emissions summaries are available for selected years</t>
  </si>
  <si>
    <t>Every three years for the full NEI; supplemental modeling platforms and trend products updated more frequently</t>
  </si>
  <si>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</si>
  <si>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</si>
  <si>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</si>
  <si>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</si>
  <si>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</si>
  <si>
    <t>https://www.epa.gov/toxics-release-inventory-tri-program</t>
  </si>
  <si>
    <t>Annual facility-level data on toxic chemical releases, waste management, off-site transfers, recycling, treatment, energy recovery, and pollution-prevention activities reported by covered industrial and federal facilities.</t>
  </si>
  <si>
    <t>Public interactive tools, maps, reports, downloadable annual files, facility records, and Envirofacts searches</t>
  </si>
  <si>
    <t>Industrial pollution; Toxic chemicals; Facility-level data; Environmental justice; Pollution prevention; Air releases; Water releases; Land disposal; Waste management; Longitudinal data</t>
  </si>
  <si>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</si>
  <si>
    <t>Toxic chemical releases; industrial emissions; air pollution; surface-water discharges; underground injection; land disposal; off-site waste transfers; chemical recycling; energy recovery; treatment; pollution prevention; source reduction; facility environmental performance</t>
  </si>
  <si>
    <t>Residents and communities potentially affected by toxic chemical releases and waste-management activities from covered industrial and federal facilities in the United States and territories</t>
  </si>
  <si>
    <t>Facility; ZIP code; county; state; tribal area</t>
  </si>
  <si>
    <t>1987–present; latest complete files currently include reporting year 2024, with prior-year submissions subject to revision</t>
  </si>
  <si>
    <t>Annual, with preliminary data followed by complete data and later revisions</t>
  </si>
  <si>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</si>
  <si>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</si>
  <si>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</si>
  <si>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</si>
  <si>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</si>
  <si>
    <t>https://www.epa.gov/rsei</t>
  </si>
  <si>
    <t>https://www.epa.gov/frs</t>
  </si>
  <si>
    <t>Screening-level model that places TRI-reported toxic chemical releases and waste-management activities into a relative health-impact context by incorporating chemical toxicity, environmental fate and transport, modeled exposure pathways, and potentially exposed populations.</t>
  </si>
  <si>
    <t>Public website, interactive EasyRSEI dashboard, downloadable model results, geographic microdata, technical documentation, and data dictionary</t>
  </si>
  <si>
    <t>Toxic chemicals; Industrial pollution; Environmental justice; Exposure modeling; Risk screening; Cancer risk; Noncancer effects; Facility-level data; Geospatial data; Longitudinal data</t>
  </si>
  <si>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</si>
  <si>
    <t>Toxic chemical releases; industrial pollution; modeled air exposure; modeled water exposure; chemical toxicity; environmental fate and transport; chronic cancer effects; chronic noncancer effects; population exposure; facility prioritization; environmental justice; pollution trends</t>
  </si>
  <si>
    <t>Residents of the United States potentially affected by modeled air and water pathways from TRI-reporting industrial and federal facilities</t>
  </si>
  <si>
    <t>810-meter grid cell; Census block group; census tract; ZIP code; county; facility; state, depending on product</t>
  </si>
  <si>
    <t>TRI reporting years 1988–2022 in RSEI Version 2.3.12; EasyRSEI standard dashboard emphasizes 2013–2022</t>
  </si>
  <si>
    <t>Annual model release following updated TRI reporting data; all historical years are recalculated using the latest model methodology</t>
  </si>
  <si>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</si>
  <si>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</si>
  <si>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</si>
  <si>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</si>
  <si>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</si>
  <si>
    <t>https://echo.epa.gov/</t>
  </si>
  <si>
    <t>Integrated public portal for locating regulated facilities and examining environmental permits, inspections, compliance status, violations, enforcement actions, penalties, pollutant discharges, and surrounding community characteristics across major federal environmental programs.</t>
  </si>
  <si>
    <t>Public facility searches, detailed facility reports, dashboards, maps, bulk downloads, map services, and query-only web services; optional user accounts support selected notification or saved-search functions.</t>
  </si>
  <si>
    <t>Regulatory compliance; Environmental enforcement; Facility-level data; Industrial pollution; Drinking water; Wastewater; Hazardous waste; Air regulation; Environmental justice; Permits; Inspections; Longitudinal data</t>
  </si>
  <si>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</si>
  <si>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</si>
  <si>
    <t>Residents and communities located near or served by regulated facilities, public water systems, wastewater systems, hazardous-waste handlers, and other entities covered by EPA environmental programs</t>
  </si>
  <si>
    <t>Facility; public water system; permitted discharge point; county; state; watershed</t>
  </si>
  <si>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</si>
  <si>
    <t>Typically weekly, with schedules varying by contributing EPA data system</t>
  </si>
  <si>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</si>
  <si>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</si>
  <si>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</si>
  <si>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</si>
  <si>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</si>
  <si>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</si>
  <si>
    <t>Public facility search, downloadable state and national CSV files, geospatial downloads, REST APIs, ArcGIS map services, and custom query tools; selected intergovernmental or internal services require authentication.</t>
  </si>
  <si>
    <t>SDOH/geospatial; Facility registry; Environmental regulation; Data integration; Facility identifiers; Industrial facilities; Geocoding; Cross-dataset linkage; Area-level data</t>
  </si>
  <si>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</si>
  <si>
    <t>Environmental facilities; regulated sites; industrial facilities; facility identification; facility geolocation; air programs; water programs; hazardous waste; toxic releases; contaminated sites; drinking-water systems; wastewater facilities; environmental data integration</t>
  </si>
  <si>
    <t>Residents and communities located near facilities, sites, public water systems, wastewater facilities, and other locations represented in EPA or partner environmental-program systems</t>
  </si>
  <si>
    <t>Facility or site</t>
  </si>
  <si>
    <t>Current integrated facility registry; availability and historical coverage of linked program records vary by contributing system</t>
  </si>
  <si>
    <t>Continuous, weekly, biweekly, or monthly depending on the contributing program system</t>
  </si>
  <si>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</si>
  <si>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</si>
  <si>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</si>
  <si>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</si>
  <si>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</si>
  <si>
    <t>https://www.waterqualitydata.us/</t>
  </si>
  <si>
    <t>National portal for discovering, querying, and downloading discrete physical, chemical, biological, and habitat-related water-quality monitoring results from EPA, USGS, and state, Tribal, federal, local, academic, watershed, and volunteer monitoring programs.</t>
  </si>
  <si>
    <t>Public web query, downloadable CSV, tab-delimited and Excel files, geospatial services, and public REST web services; no registration required for data retrieval.</t>
  </si>
  <si>
    <t>Water quality; Environmental monitoring; Surface water; Groundwater; SDOH/geospatial; Aquatic ecosystems; Drinking water; Biological monitoring; Monitoring-site data; Time-series data</t>
  </si>
  <si>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</si>
  <si>
    <t>Water chemistry; surface-water quality; groundwater quality; nutrients; metals; organic chemicals; PFAS; pesticides; pharmaceuticals; pathogens; bacteria; physical water characteristics; sediment; aquatic biology; habitat assessment; drinking-water source quality; watershed condition</t>
  </si>
  <si>
    <t>Water bodies, groundwater resources, sediments, aquatic organisms, and other environmental media represented by samples collected at monitoring locations</t>
  </si>
  <si>
    <t>Monitoring site; water body; watershed/HUC; county; state;</t>
  </si>
  <si>
    <t>Varies by monitoring organization, site, and characteristic; historical and current records through the present</t>
  </si>
  <si>
    <t>Ongoing; varies by contributing organization and source system</t>
  </si>
  <si>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</si>
  <si>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</si>
  <si>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</si>
  <si>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</si>
  <si>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</si>
  <si>
    <t>Official national repository and search system for identifying active and archived Superfund sites and examining site location, National Priorities List status, contaminants, affected media, site assessment, cleanup actions, remedies, enforcement activities, and remediation progress.</t>
  </si>
  <si>
    <t>Public SEMS search, NPL site tables and maps, site profiles, downloadable reports, document collections, and separate geospatial boundary data; bulk products are distributed across multiple EPA pages and formats.</t>
  </si>
  <si>
    <t>SDOH/geospatial; Contaminated sites; Hazardous waste; Superfund; Environmental justice; Cleanup and remediation; Facility-level data; Soil contamination; Groundwater contamination; Historical data</t>
  </si>
  <si>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</si>
  <si>
    <t>Hazardous-waste sites; contaminated land; soil contamination; groundwater contamination; surface-water contamination; sediment contamination; site assessment; remediation; cleanup status; contaminants of concern; institutional controls; engineering controls; enforcement and settlements</t>
  </si>
  <si>
    <t>Residents and communities located near active, archived, proposed, final, or deleted Superfund and related hazardous-waste sites in the United States and territories</t>
  </si>
  <si>
    <t>Superfund site; facility; site boundary; county; state</t>
  </si>
  <si>
    <t>1983–present in SEMS; selected historical CERCLIS records and Superfund actions extend to earlier program years</t>
  </si>
  <si>
    <t>Ongoing; update schedule varies by SEMS product, report, and site record</t>
  </si>
  <si>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</si>
  <si>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</si>
  <si>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</si>
  <si>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</si>
  <si>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</si>
  <si>
    <t>EnviroAtlas for Brownfields</t>
  </si>
  <si>
    <t>https://epa.maps.arcgis.com/home/item.html?id=e5f95175f9184d508be636377796f1c2</t>
  </si>
  <si>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</si>
  <si>
    <t>Public ArcGIS web map and EnviroAtlas Interactive Map collection; underlying map layers can be viewed and, depending on the individual service, queried or downloaded.</t>
  </si>
  <si>
    <t>Brownfields; Environmental exposure; Environmental justice; Community vulnerability; Land revitalization; Demographics; Health indicators; Ecosystem services; Infrastructure; Grant planning</t>
  </si>
  <si>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</si>
  <si>
    <t>Brownfields planning; environmental justice; community demographics; environmental conditions; public health indicators; contaminated-site context; redevelopment; transportation; green space; ecosystem services; community assets and vulnerabilities</t>
  </si>
  <si>
    <t>Residents and communities surrounding existing or potential Brownfields projects and areas being considered for EPA Brownfields funding or redevelopment</t>
  </si>
  <si>
    <t>Varies by layer; Brownfields site, census block group, census tract, county, watershed, community, and raster grid</t>
  </si>
  <si>
    <t>Varies by underlying layer and data provider</t>
  </si>
  <si>
    <t>Varies by underlying layer; collection membership and individual services may be updated independently</t>
  </si>
  <si>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</si>
  <si>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</si>
  <si>
    <t>EPA ACRES Brownfields Properties; EPA Facility Registry Service; EPA Cleanups in My Community; EPA EJScreen; CDC/ATSDR Environmental Justice Index; American Community Survey; Census TIGER/Line; state Brownfields and voluntary-cleanup records</t>
  </si>
  <si>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</si>
  <si>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</si>
  <si>
    <t>https://map22.epa.gov/cimc/brownfields</t>
  </si>
  <si>
    <t>Public property-level information on Brownfields addressed using EPA funding or technical assistance, including property location, assessment activities, potential or confirmed contamination, cleanup progress, controls, redevelopment, and reuse accomplishments.</t>
  </si>
  <si>
    <t>Public map, searchable property profiles, Excel and CSV downloads through Cleanups in My Community; full ACRES reporting system restricted to EPA Brownfields staff and authorized grant or contract recipients.</t>
  </si>
  <si>
    <t>SDOH/geospatial; Brownfields; Contaminated sites; Land revitalization; Environmental justice; Cleanup and remediation; Redevelopment; Property-level data; Community development</t>
  </si>
  <si>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</si>
  <si>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</si>
  <si>
    <t>Residents and communities surrounding properties assessed, cleaned up, or redeveloped using EPA Brownfields funding or technical assistance</t>
  </si>
  <si>
    <t>Brownfield property or site; grant jurisdiction; address; county; state</t>
  </si>
  <si>
    <t>1998–present; EPA-funded Brownfields property reporting has been required since 2003</t>
  </si>
  <si>
    <t>Twice monthly; public ACRES data are transferred to CIMC on the 4th and 18th of each month</t>
  </si>
  <si>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</si>
  <si>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</si>
  <si>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</si>
  <si>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</si>
  <si>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</si>
  <si>
    <t>How's My Waterway</t>
  </si>
  <si>
    <t>EPA ATTAINS</t>
  </si>
  <si>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</si>
  <si>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</si>
  <si>
    <t>SDOH/geospatial; Water quality; Impaired waters; Regulatory assessment; TMDL; Surface water; Restoration planning; Watershed management; Area-level data; Longitudinal data</t>
  </si>
  <si>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</si>
  <si>
    <t>Surface-water condition; designated-use attainment; impaired waters; pathogens; nutrients; dissolved oxygen; metals; sediment; toxic contaminants; fish consumption; recreation; aquatic life; drinking-water source use; TMDLs; restoration plans; protection approaches</t>
  </si>
  <si>
    <t>Surface waters assessed by states, territories, and authorized Tribes, including rivers, streams, lakes, reservoirs, estuaries, coastal waters, wetlands, and Great Lakes waters</t>
  </si>
  <si>
    <t>State-defined assessment unit; waterbody; NHDPlus catchment; HUC12 watershed; state</t>
  </si>
  <si>
    <t>Varies by jurisdiction; includes multiple biennial reporting cycles, historical pre-2015 records, and current assessment and action records</t>
  </si>
  <si>
    <t>Biennial by jurisdiction; geospatial data are updated when an assessment cycle is submitted and again after final EPA action, with services and exports refreshed as new data become available</t>
  </si>
  <si>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</si>
  <si>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</si>
  <si>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</si>
  <si>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</si>
  <si>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</si>
  <si>
    <t>https://www.epa.gov/waterdata/attains</t>
  </si>
  <si>
    <t>https://mywaterway.epa.gov/</t>
  </si>
  <si>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</si>
  <si>
    <t>Public interactive web application with maps, community, state, Tribal, waterbody, and national reports; selected maps, reports, monitoring results, and ATTAINS information can be printed, exported, or downloaded.</t>
  </si>
  <si>
    <t>Reports/dashboard; SDOH/geospatial; Water quality; Watersheds; Impaired waters; Drinking water; Permitted dischargers; Water monitoring; Restoration; Environmental justice; Public communication</t>
  </si>
  <si>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</si>
  <si>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</si>
  <si>
    <t>Residents, water users, and communities associated with U.S. watersheds, waterbodies, states, territories, and Tribal areas represented in the application</t>
  </si>
  <si>
    <t>HUC12 watershed; waterbody; community; state; Tribal area; national</t>
  </si>
  <si>
    <t>Varies by component; monitoring records may extend to the late 1800s, while assessment, discharge, drinking-water, restoration, satellite, and other data reflect the periods available in their underlying source systems</t>
  </si>
  <si>
    <t>Ongoing; application releases occur periodically, while underlying datasets refresh on different schedules</t>
  </si>
  <si>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</si>
  <si>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</si>
  <si>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</si>
  <si>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</si>
  <si>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</si>
  <si>
    <t>https://www.epa.gov/waterdata/waters-geospatial-data-downloads</t>
  </si>
  <si>
    <t>National geospatial framework providing hydrologically connected GIS datasets, stream networks, catchments, watersheds, assessment units, and linked EPA water-program layers for watershed delineation, upstream/downstream tracing, spatial analysis, and integration of EPA water data.</t>
  </si>
  <si>
    <t>Public geodatabases, shapefiles, feature services, ArcGIS REST services, downloadable GIS layers, and web services.</t>
  </si>
  <si>
    <t>SDOH/geospatial; Hydrography; Watersheds; Stream network; GIS; NHDPlus; Catchments; Water resources; Spatial analysis; Hydrologic modeling</t>
  </si>
  <si>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</si>
  <si>
    <t>Hydrography; stream networks; watersheds; catchments; hydrologic connectivity; waterbody geometry; assessment-unit boundaries; watershed delineation; flow-path analysis; GIS integration; environmental spatial analysis</t>
  </si>
  <si>
    <t>Surface-water features and hydrologic units represented in the national hydrographic network</t>
  </si>
  <si>
    <t>Stream reach; flowline; catchment; watershed/HUC; assessment unit; waterbody</t>
  </si>
  <si>
    <t>Current national hydrographic and linked water-program layers; update history varies by individual dataset</t>
  </si>
  <si>
    <t>Varies by dataset; updated as underlying EPA water-program and hydrographic layers are revised</t>
  </si>
  <si>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</si>
  <si>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</si>
  <si>
    <t>EPA ATTAINS; EPA How's My Waterway; Water Quality Portal; EPA NHDPlus; EPA ECHO/NPDES; EPA Safe Drinking Water Information System; EPA EnviroAtlas; USGS National Hydrography Dataset; American Community Survey; Census TIGER/Line</t>
  </si>
  <si>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</si>
  <si>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</si>
  <si>
    <t>PRISM Climate Group, Oregon State University</t>
  </si>
  <si>
    <t>https://prism.oregonstate.edu/https://prism.oregonstate.edu/</t>
  </si>
  <si>
    <t>Public data explorer, raster-grid downloads, data directory, FTP access, and web services; attribution required under PRISM terms of use</t>
  </si>
  <si>
    <t>Climate; Weather; Temperature; Precipitation; Humidity; SDOH/geospatial; Raster data; Exposure modeling; Longitudinal data</t>
  </si>
  <si>
    <t>800-meter or 4-kilometer raster grid cell</t>
  </si>
  <si>
    <t>Daily: 1981–present; monthly and annual: 1895–present; current normals: 1991–2020</t>
  </si>
  <si>
    <t>Ongoing; daily and monthly products are revised during a rolling six-month quality-control period</t>
  </si>
  <si>
    <t>Terrain-sensitive gridded estimates of precipitation, temperature, humidity, and solar radiation for assigning daily, monthly, annual, and long-term climate conditions to locations and geographic areas.</t>
  </si>
  <si>
    <t>Temperature; extreme heat; precipitation; rainfall; humidity; dew point; vapor pressure deficit; solar irradiance; climate normals; climate anomalies; drought-related conditions; flood-related climate conditions</t>
  </si>
  <si>
    <t>Land areas and populations in the conterminous United States, represented through gridded climate estimates</t>
  </si>
  <si>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</si>
  <si>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</si>
  <si>
    <t>NOAA/NCEI Climate Data Online; NOAA Global Historical Climatology Network; CDC Heat and Health Tracker; CDC Environmental Public Health Tracking Network; EPA AirData/AQS; USGS National Water Information System; American Community Survey; CDC PLACES; Census TIGER/Line; Daymet; gridMET</t>
  </si>
  <si>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</si>
  <si>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</si>
  <si>
    <t>https://waterdata.usgs.gov/</t>
  </si>
  <si>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</si>
  <si>
    <t>Public monitoring-location pages, maps, graphs, tables, data downloads, National Water Dashboard, REST/OGC APIs, and R/Python data-access tools; an API key is available for higher request-rate limits.</t>
  </si>
  <si>
    <t>Water quality; Hydrology; Surface water; Groundwater; Streamflow; Water levels; Environmental monitoring; SDOH/geospatial; Monitoring-site data; Time-series data; Real-time data</t>
  </si>
  <si>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</si>
  <si>
    <t>Streamflow; river and stream levels; lakes and reservoirs; groundwater levels; wells and aquifers; floods; drought; precipitation; water temperature; physical water quality; chemical water quality; sediment; biological samples; hydrologic statistics</t>
  </si>
  <si>
    <t>Surface waters, groundwater systems, and associated communities represented by USGS monitoring locations across U.S. states and territories</t>
  </si>
  <si>
    <t>Monitoring location; streamgage; well; spring; lake or reservoir site; county; watershed/HUC</t>
  </si>
  <si>
    <t>More than 135 years; varies by monitoring location, parameter, and data category, with historical and current records through the present</t>
  </si>
  <si>
    <t>Ongoing; telemetered continuous data may be available within minutes, while daily values, field measurements, and discrete samples are added as processing and laboratory work are completed. Recent records may remain provisional until reviewed and approved.</t>
  </si>
  <si>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</si>
  <si>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</si>
  <si>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</si>
  <si>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</si>
  <si>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</si>
  <si>
    <t>https://www.ncei.noaa.gov/stormevents/</t>
  </si>
  <si>
    <t>Event-based database documenting severe storms, unusual weather phenomena, and other significant meteorological events, including event timing and location, reported injuries and fatalities, property and crop damage, event magnitude, and descriptive narratives.</t>
  </si>
  <si>
    <t>Public interactive search, narrative search, annual bulk CSV files, event-location files, fatality files, documentation, and archived Storm Data publications; no account required.</t>
  </si>
  <si>
    <t>Climate; Weather; Natural hazards; Disasters; Emergency preparedness; Extreme heat; Flooding; Injury surveillance; Mortality; SDOH/geospatial; Event-level data; Longitudinal data</t>
  </si>
  <si>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</si>
  <si>
    <t>Tornadoes; hurricanes; tropical storms; floods; flash floods; coastal flooding; storm surge; extreme heat; cold exposure; drought; wildfire; lightning; hail; damaging winds; heavy rain; winter storms; ice storms; rip currents; weather-related injuries; weather-related deaths; economic damage</t>
  </si>
  <si>
    <t>Residents and communities in the United States and territories affected by recorded severe or significant weather events; records also cover marine areas and forecast zones</t>
  </si>
  <si>
    <t>County or parish; NWS forecast zone; marine zone; event point or path; state or territory</t>
  </si>
  <si>
    <t>January 1950–present; currently available through March 2026; period of record varies by event type</t>
  </si>
  <si>
    <t>Monthly; generally updated approximately 75–90 days after the end of each data month</t>
  </si>
  <si>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</si>
  <si>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</si>
  <si>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</si>
  <si>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</si>
  <si>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</si>
  <si>
    <t>https://www.ncei.noaa.gov/cdo-web/</t>
  </si>
  <si>
    <t>Weather station; city; county; state; country, depending on dataset and search</t>
  </si>
  <si>
    <t>https://arc.ncics.org/nclimgrid-overview/</t>
  </si>
  <si>
    <t xml:space="preserve"> Data are available from 1951 to the present. </t>
  </si>
  <si>
    <t xml:space="preserve">Daily data are updated every 3 days with a preliminary data file and replaced with the scaled (i.e., quality controlled) data file every three months. </t>
  </si>
  <si>
    <t>Portal for discovering and downloading observed historical weather and climate data and station metadata from multiple NOAA/NCEI collections, including daily, monthly, seasonal, annual, hourly, radar, precipitation, and climate-normal products.</t>
  </si>
  <si>
    <t>Public search and mapping tools, free data orders and downloads, dataset-specific tools, bulk files, and web services; the CDO API requires a free email-issued token; certified copies for legal use may require payment.</t>
  </si>
  <si>
    <t>Climate; Weather; Temperature; Precipitation; Wind; Snow; Humidity; Climate normals; Environmental monitoring; Station data; Time-series data; SDOH/geospatial</t>
  </si>
  <si>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</si>
  <si>
    <t>Temperature; extreme heat; extreme cold; precipitation; heavy rainfall; drought-related conditions; snowfall; snow depth; wind; humidity; dew point; atmospheric pressure; degree days; climate normals; routine weather observations; radar observations</t>
  </si>
  <si>
    <t>Weather-observing locations and surrounding land areas and populations worldwide</t>
  </si>
  <si>
    <t>Varies by dataset and station; selected daily records date to 1750, with current observations through the present; most stations cover substantially shorter periods.</t>
  </si>
  <si>
    <t>Ongoing; varies by dataset; major daily station products update seven days per week, while monthly, annual, normals, radar, and other products follow dataset-specific schedules.</t>
  </si>
  <si>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</si>
  <si>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</si>
  <si>
    <t>PRISM Climate Data; NOAA Storm Events Database; GHCN-Daily; NOAA Local Climatological Data; NOAA U.S. Climate Normals; CDC Heat and Health Tracker; EPA AirData/AQS; USGS Water Data for the Nation; American Community Survey; Daymet; gridMET</t>
  </si>
  <si>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</si>
  <si>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</si>
  <si>
    <t>Analysis-ready daily county-level time series of area-averaged maximum, minimum, and mean temperature and precipitation derived from NOAA nClimGrid-Daily for climate monitoring, epidemiologic exposure assignment, and longitudinal public-health research.</t>
  </si>
  <si>
    <t>Public direct CSV and Parquet downloads through NOAA-hosted cloud storage; R package and interactive access options are also available; no registration or credentials required.</t>
  </si>
  <si>
    <t>Climate; Weather; Extreme heat; Extreme cold; Precipitation; County-level data; SDOH/geospatial; Analysis-ready data; Time-series data; Epidemiology</t>
  </si>
  <si>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</si>
  <si>
    <t>Daily temperature; extreme heat; extreme cold; precipitation; heavy rainfall; drought-related conditions; flood-related climate conditions; climate variability; weather exposure</t>
  </si>
  <si>
    <t>Residents and land areas of counties in the contiguous United States, represented through county-area-average daily climate estimates</t>
  </si>
  <si>
    <t>Date; year; month; day; county or regional identifier; county name; state identifier; daily maximum temperature (Tmax, °C); daily minimum temperature (Tmin, °C); daily average temperature (Tavg, °C); daily precipitation amount (Prcp, mm); preliminary or scaled data status; product version</t>
  </si>
  <si>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</si>
  <si>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</si>
  <si>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</si>
  <si>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</si>
  <si>
    <t>FEMA National Risk Index for Natural Hazards</t>
  </si>
  <si>
    <t>https://www.fema.gov/flood-maps/products-tools/national-risk-index</t>
  </si>
  <si>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</si>
  <si>
    <t>Public FEMA landing page, RAPT GIS web map, OpenFEMA downloadable files, FEMA ArcGIS county and census-tract feature layers, and technical documentation; no account required.</t>
  </si>
  <si>
    <t>Environmental exposure; Natural hazards; Disaster risk; Climate; Social vulnerability; Community resilience; Emergency preparedness; Hazard mitigation; Resilience planning; Area-level data</t>
  </si>
  <si>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</si>
  <si>
    <t>Avalanche; coastal flooding; cold wave; drought; earthquake; hail; heat wave; hurricane; ice storm; inland flooding; landslide; lightning; strong wind; tornado; tsunami; volcanic activity; wildfire; winter weather; expected annual loss; social vulnerability; community resilience</t>
  </si>
  <si>
    <t>Residents, buildings, agricultural assets, and communities in U.S. counties and census tracts, represented through area-level hazard exposure, expected annual loss, social vulnerability, and community resilience measures</t>
  </si>
  <si>
    <t>Census tract; county; Tribal census tract; state-level Expected Annual Loss summaries, depending on product</t>
  </si>
  <si>
    <t>Multiple data versions since 2020; latest version 1.20 released in December 2025; underlying source periods vary by hazard and risk component</t>
  </si>
  <si>
    <t>Irregular/periodic; updated when major source datasets or methodologies are revised; latest major update December 2025</t>
  </si>
  <si>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</si>
  <si>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</si>
  <si>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</si>
  <si>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</si>
  <si>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</si>
  <si>
    <t>Climatology Lab, University of California, Merced</t>
  </si>
  <si>
    <t>Daily, spatially continuous gridded surface meteorological data for assigning temperature, precipitation, humidity, wind, solar radiation, evapotranspiration, vapor-pressure deficit, drought, and fire-weather conditions to locations and geographic areas.</t>
  </si>
  <si>
    <t>Public annual NetCDF downloads, wget-generated downloads, THREDDS/OPeNDAP services, Climate Engine access, USGS Zarr services, and Google Earth Engine; no approval required for direct files.</t>
  </si>
  <si>
    <t>https://www.climatologylab.org/gridmet.html</t>
  </si>
  <si>
    <t>Climate; Weather; Temperature; Precipitation; Humidity; Wind; Solar radiation; Evapotranspiration; Vapor pressure deficit; Drought; Wildfire; SDOH/geospatial; Raster data; Longitudinal data</t>
  </si>
  <si>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</si>
  <si>
    <t>Daily temperature; extreme heat; extreme cold; precipitation; heavy rainfall; humidity; vapor-pressure deficit; wind; solar radiation; evapotranspiration; drought; wildfire danger; fuel moisture; climate variability</t>
  </si>
  <si>
    <t>Land areas and populations in the contiguous United States represented through approximately 4-kilometer gridded meteorological estimates</t>
  </si>
  <si>
    <t>Approximately 4-kilometer raster grid cell</t>
  </si>
  <si>
    <t>1979–present; generally available through the previous day</t>
  </si>
  <si>
    <t>Daily; observations from the most recent 60 days are preliminary and subject to replacement or revision</t>
  </si>
  <si>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</si>
  <si>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</si>
  <si>
    <t>PRISM Climate Data; NOAA nClimGrid-Daily and EpiNOAA; NOAA Climate Data Online; NOAA Storm Events Database; TerraClimate; Daymet; CDC Heat and Health Tracker; EPA AirData/AQS; USGS Water Data for the Nation; FEMA National Risk Index; American Community Survey</t>
  </si>
  <si>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</si>
  <si>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</si>
  <si>
    <t>MRLC Annual National Land Cover Database</t>
  </si>
  <si>
    <t>https://www.mrlc.gov/data/project/annual-nlcd</t>
  </si>
  <si>
    <t>Annual 30-meter raster data describing land cover, land-cover change, classification confidence, and impervious surfaces for analyzing urbanization, development, vegetation, wetlands, environmental context, and changes in the land surface over time.</t>
  </si>
  <si>
    <t>Public MRLC Viewer and area-of-interest downloads, GeoTIFF raster files, USGS EarthExplorer, ScienceBase archives, AWS cloud storage, and geospatial web services; no approval required.</t>
  </si>
  <si>
    <t>SDOH/geospatial; Land cover; Land use; Built environment; Impervious surface; Urbanization; Greenspace; Forest; Wetlands; Agriculture; Remote sensing; Raster data; Longitudinal data</t>
  </si>
  <si>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</si>
  <si>
    <t>Land cover; land-cover change; developed land; urbanization; impervious surfaces; roads; open water; forest; shrubland; grassland; pasture; cultivated crops; wetlands; greenspace; land-surface disturbance</t>
  </si>
  <si>
    <t>Land areas and communities in the conterminous United States represented through 30-meter land-cover raster cells</t>
  </si>
  <si>
    <t>30-meter raster grid cell; current Annual NLCD core coverage is the conterminous United States</t>
  </si>
  <si>
    <t>1985–2025 in Annual NLCD Collection 1.2</t>
  </si>
  <si>
    <t>Annual; new releases extend and may reprocess the annual historical product series</t>
  </si>
  <si>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</si>
  <si>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</si>
  <si>
    <t>EPA EnviroAtlas; EPA EJScreen; CDC/ATSDR Environmental Justice Index; American Community Survey; Census TIGER/Line; PRISM Climate Data; gridMET; NOAA nClimGrid/EpiNOAA; FEMA National Risk Index; EPA WATERS/NHDPlus; USGS Landsat; USDA Cropland Data Layer; USFS Tree Canopy Cover data</t>
  </si>
  <si>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</si>
  <si>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</si>
  <si>
    <t>USGS PAD-US Data Overview and Downloads</t>
  </si>
  <si>
    <t>https://www.usgs.gov/programs/gap-analysis-project/science/pad-us-data-overview</t>
  </si>
  <si>
    <t>National geospatial inventory of public lands, protected areas, conservation easements, marine protected areas, management designations, and other open-space lands and waters, including conservation status, ownership or management, and general public-access information.</t>
  </si>
  <si>
    <t>Public national and state geodatabases, vector and raster analysis files, KMZ files, ArcGIS web services, interactive Data Explorer, and summary-statistics dashboard.</t>
  </si>
  <si>
    <t>Environmental exposure; Protected areas; Public lands; Parks; Open space; Greenspace; Recreation access; Biodiversity; Conservation; Land management; Cultural resources; Emergency planning</t>
  </si>
  <si>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</si>
  <si>
    <t>Protected lands; public lands; parks; open space; recreation access; biodiversity conservation; land ownership; land management; conservation easements; wilderness; natural-resource management; marine protected areas; cultural and historic areas</t>
  </si>
  <si>
    <t>Residents and communities located near, or potentially served by, public lands, protected areas, parks, conservation lands, and other open-space lands and waters</t>
  </si>
  <si>
    <t>Protected-area or management-boundary polygon; public-land parcel; conservation easement; marine protected area; county; state</t>
  </si>
  <si>
    <t>Irregular/periodic; updated as federal, state, local, Tribal, and nonprofit source data become available</t>
  </si>
  <si>
    <t>Versioned releases; latest version PAD-US 4.1 released March 2025; establishment-year information is incomplete</t>
  </si>
  <si>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</si>
  <si>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</si>
  <si>
    <t>Annual National Land Cover Database; EPA EnviroAtlas; Trust for Public Land ParkServe; American Community Survey; Census TIGER/Line; CDC/ATSDR Environmental Justice Index; EPA EJScreen; FEMA National Risk Index; USGS National Map; state and local parks or recreation datasets</t>
  </si>
  <si>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</si>
  <si>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</si>
  <si>
    <t>https://www.usgs.gov/tools/estimated-annual-agricultural-pesticide-use</t>
  </si>
  <si>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</si>
  <si>
    <t>Public interactive pesticide maps, annual county-level tab-delimited data files, state-level crop-group tables, USGS data releases, metadata, and methodological documentation; no registration required.</t>
  </si>
  <si>
    <t>Agricultural pesticide use; herbicides; insecticides; fungicides; crop chemicals; pesticide trends; agricultural chemical loading; surface-water contamination potential; groundwater contamination potential; rural environmental exposure</t>
  </si>
  <si>
    <t>Agricultural lands and populations living, working, obtaining water, or receiving services in areas where agricultural pesticides are estimated to be used</t>
  </si>
  <si>
    <t>County; agricultural land within county for mapped displays; state and crop group for selected summaries</t>
  </si>
  <si>
    <t>1992–2019 currently available; 2018–2019 estimates are preliminary. USGS states that final estimates for 2018–2022 are planned for publication in 2026, but I could not verify their release as of July 23, 2026.</t>
  </si>
  <si>
    <t>Planned annual preliminary estimates, with final estimates revised approximately every five years following release of the USDA Census of Agriculture; historical publication has been irregular.</t>
  </si>
  <si>
    <t>Pesticide compound name; year; state FIPS code; county FIPS code; low estimated use in kilograms; high estimated use in kilograms; state; county; crop or crop group in state-level files; mapped agricultural area; preliminary or final estimate status</t>
  </si>
  <si>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</si>
  <si>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</si>
  <si>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</si>
  <si>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</si>
  <si>
    <t>SCDNR ArcGIS Online</t>
  </si>
  <si>
    <t>https://scdnr.maps.arcgis.com/home/</t>
  </si>
  <si>
    <t>Statewide GIS layers, web maps, applications and spatial services covering natural resources, geology, hydrology, wildlife, habitats, public lands, elevation and related environmental features</t>
  </si>
  <si>
    <t>Public ArcGIS Online content, web maps, map services and downloadable GIS products; availability and formats vary by layer, and some specialized products require a request</t>
  </si>
  <si>
    <t>Environmental exposure; SDOH/geospatial; hydrology; geology; wildlife; habitats; public lands; elevation</t>
  </si>
  <si>
    <t>South Carolina GIS, SCDNR, natural resources, wildlife, habitat, hydrology, geology, public lands, LiDAR, elevation, wetlands, coastal resources, ArcGIS</t>
  </si>
  <si>
    <t>Natural resources, land and water resources, biodiversity, coastal resources, geology, elevation, managed lands and environmental context</t>
  </si>
  <si>
    <t>South Carolina environment, natural resources, wildlife habitats, water resources, land areas and managed properties</t>
  </si>
  <si>
    <t>Statewide layers; county; watershed; parcel or managed-land tract; point, line, polygon, raster and site-specific features</t>
  </si>
  <si>
    <t>Varies substantially by layer and project; historical and current products are mixed</t>
  </si>
  <si>
    <t>Irregular/by layer</t>
  </si>
  <si>
    <t>Coordinates, boundaries, land ownership or management, habitat type, hydrography, elevation, geology, wells, protected lands, species or biological resources and layer-specific attributes</t>
  </si>
  <si>
    <t>Environmental exposure linkage; proximity and buffer analysis; rural and natural-resource context; watershed linkage; public-land access; habitat and coastal analyses; map development</t>
  </si>
  <si>
    <t>SCDES GIS Hub; EPA EnviroAtlas; Annual NLCD; PAD-US; WQP; FEMA National Risk Index; Census TIGER/Line; ACS</t>
  </si>
  <si>
    <t>Broad portal rather than one standardized dataset; metadata, dates, resolution, completeness and update schedules differ by layer; boundaries may not be legally authoritative; some older products remain available; specialized GIS software may be required</t>
  </si>
  <si>
    <t>Public data are generally provided as-is; review each layer’s metadata, use limitations, attribution requirements and positional-accuracy statements before analysis</t>
  </si>
  <si>
    <t>Central portal for South Carolina public-health dashboards, surveillance reports, statistics, maps and topic-specific data products</t>
  </si>
  <si>
    <t>Public dashboards, reports, maps and downloadable summary tables; confidential or record-level health data are not generally distributed through the public portal</t>
  </si>
  <si>
    <t>Chronic disease; cancer; maternal/child health; mental health; substance use; HIV/infectious disease; environmental health; vital statistics</t>
  </si>
  <si>
    <t>South Carolina public health, SCDPH, health dashboard, county health, vital statistics, disease surveillance, HIV, AIDS, STD, mortality, births, environmental health</t>
  </si>
  <si>
    <t>Population health, disease surveillance, mortality, morbidity, maternal and child health, infectious disease, HIV/STIs, overdose, environmental health and health-care indicators</t>
  </si>
  <si>
    <t>South Carolina residents and topic-specific subpopulations represented in public-health surveillance systems</t>
  </si>
  <si>
    <t>State, county, health region and other topic-specific reporting geographies</t>
  </si>
  <si>
    <t>Varies by program; many reports and dashboards contain annual or multi-year trends, with some historical series extending several decades</t>
  </si>
  <si>
    <t>Varies by program: weekly, monthly, quarterly, annual or irregular</t>
  </si>
  <si>
    <t>Counts, rates, percentages, prevalence, incidence, mortality, demographics, age, sex, race/ethnicity, county, year, disease indicators, risk factors and health outcomes</t>
  </si>
  <si>
    <t>County health profiles; public-health needs assessment; disease-trend analysis; HIV and infectious-disease context; disparity analysis; surveillance summaries; grant and program planning</t>
  </si>
  <si>
    <t>CDC PLACES; CDC WONDER; CDC AtlasPlus; BRFSS; ACS; County Health Rankings; South Carolina Health Compass; SC Tracking; South Carolina vital-statistics reports</t>
  </si>
  <si>
    <t>Broad collection rather than one harmonized dataset; definitions, denominators, periods and update schedules differ by program; dashboards may suppress unstable or confidential estimates; some reports provide PDFs rather than analysis-ready files</t>
  </si>
  <si>
    <t>Public products are primarily aggregated or de-identified; small counts may be suppressed; access to identifiable surveillance, vital-record or patient-level data requires separate authorization and governance review</t>
  </si>
  <si>
    <t>https://data-scdnr.opendata.arcgis.com/</t>
  </si>
  <si>
    <t>Public GIS hub for discovering, viewing, downloading, and accessing South Carolina natural-resource and environmental spatial datasets</t>
  </si>
  <si>
    <t>Public ArcGIS Hub; downloadable formats include CSV, KML, ZIP, GeoJSON, GeoTIFF, and PNG; GeoServices, WMS, WFS, and other API links may be available by layer</t>
  </si>
  <si>
    <t>Environmental exposure; SDOH/geospatial; land cover; geology; hydrology; biodiversity; wildlife; coastal resources; public lands</t>
  </si>
  <si>
    <t>SCDNR, South Carolina GIS, natural resources, environmental GIS, geology, hydrology, wildlife, habitat, public lands, coastal resources, land cover, LiDAR, ArcGIS</t>
  </si>
  <si>
    <t>Natural resources, land cover, geology, elevation, hydrography, habitats, wildlife, fisheries, coastal resources, public lands and recreational access</t>
  </si>
  <si>
    <t>South Carolina lands, waters, natural resources, habitats, wildlife populations and managed properties</t>
  </si>
  <si>
    <t>Points, sites, lines, polygons, watersheds, counties, managed-land tracts and raster grid cells; varies by layer</t>
  </si>
  <si>
    <t>Varies by dataset; includes current and historical layers with no unified date range</t>
  </si>
  <si>
    <t>Irregular/by dataset</t>
  </si>
  <si>
    <t>Coordinates, feature boundaries, area, land-cover class, elevation, geology, hydrography, habitat type, species-related attributes, ownership or management status, facility or access-point characteristics</t>
  </si>
  <si>
    <t>Environmental and geographic linkage; proximity and buffer analysis; watershed context; habitat and biodiversity research; public-land and recreation access; rural and coastal analyses</t>
  </si>
  <si>
    <t>SCDES GIS Hub; Annual NLCD; PAD-US; Water Quality Portal; PRISM; gridMET; FEMA National Risk Index; Census TIGER/Line; American Community Survey</t>
  </si>
  <si>
    <t>Portal contains many independently produced layers; vintages, completeness, resolution, coordinate systems and update schedules differ; some layers are historical; mapped boundaries may not represent legal property boundaries</t>
  </si>
  <si>
    <t>Review each layer’s metadata, attribution, license and use constraints; retain source agency and dataset version; do not treat reference boundaries as legally authoritative</t>
  </si>
  <si>
    <t>SCDNR GIS Open Data</t>
  </si>
  <si>
    <t>Data, Maps, Reports</t>
  </si>
  <si>
    <t>https://dph.sc.gov/public/data-maps-reports</t>
  </si>
  <si>
    <t>Public landing page for interactive health applications, service-location maps, monitoring tools, assessments and other South Carolina public-health mapping products</t>
  </si>
  <si>
    <t>Public web applications and interactive maps; download, API and export functionality vary by individual application; no unified bulk download</t>
  </si>
  <si>
    <t>HIV/infectious disease; health care utilization/cost; SDOH/geospatial; cancer; environmental exposure; food/nutrition; provider locations</t>
  </si>
  <si>
    <t>South Carolina DPH, health maps, health applications, clinic locator, HIV clinic, STD clinic, hepatitis clinic, health facility, cancer map, rabies, mosquito disease, food desert, vaccine location</t>
  </si>
  <si>
    <t>Health-service access, clinic and facility locations, vaccination, cancer, HIV/STI/hepatitis services, mosquito-borne disease, rabies, food markets and food access</t>
  </si>
  <si>
    <t>South Carolina residents, health-service users, facilities, providers and populations represented in application-specific public-health data</t>
  </si>
  <si>
    <t>State, county, facility, clinic, provider location, service area and other application-specific geography</t>
  </si>
  <si>
    <t>Varies by application; no unified date range</t>
  </si>
  <si>
    <t>Varies by application</t>
  </si>
  <si>
    <t>Facility or clinic name, service type, address, coordinates, county, provider category, disease or monitoring indicator, counts, rates and application-specific geographic measures</t>
  </si>
  <si>
    <t>Locate HIV/STI/hepatitis clinics and other health services; map geographic access to care; identify facility locations; support community needs assessments; examine food access and selected public-health monitoring indicators</t>
  </si>
  <si>
    <t>SC DPH Public Health Data; SC DPH All Data Dashboards; SC Tracking; SC Health Compass; HIV, AIDS &amp; STDs Data and Reports; Census TIGER/Line; American Community Survey</t>
  </si>
  <si>
    <t>This is an application directory rather than one harmonized dataset; content, definitions, years, refresh schedules and export options differ by application; some tools are designed for service discovery rather than statistical analysis</t>
  </si>
  <si>
    <t>Public products generally contain aggregated, nonidentifiable or facility-location information; individual-level surveillance and clinical records require separate authorization; review each application’s privacy and suppression rules</t>
  </si>
  <si>
    <t>SCDES GIS Hub</t>
  </si>
  <si>
    <t>https://gis.des.sc.gov/SCDES_GIS_HUB/</t>
  </si>
  <si>
    <t>Statewide environmental GIS hub for discovering, viewing, analyzing, downloading, and accessing SCDES maps, dashboards, applications, datasets, APIs, and GIS services</t>
  </si>
  <si>
    <t>Public access without authentication for public datasets; downloads may include CSV, KML, ZIP, GeoJSON, GeoTIFF, and PNG, with GeoServices, WMS, and WFS links available for applicable layers.</t>
  </si>
  <si>
    <t>Environmental exposure; SDOH/geospatial; air quality; water quality; coastal resources; land and waste; permits; monitoring; regulatory facilities</t>
  </si>
  <si>
    <t>South Carolina environmental GIS, SCDES, air quality, water quality, coastal GIS, hazardous waste, landfills, mines, permits, monitoring stations, PFAS, dams, watersheds, ArcGIS</t>
  </si>
  <si>
    <t>Air, water, coastal management, land and waste management, environmental monitoring, regulated facilities, permits, contamination, watersheds and environmental hazards</t>
  </si>
  <si>
    <t>South Carolina environmental features, monitoring locations, regulated facilities, permitted sites, water bodies, coastal areas and communities</t>
  </si>
  <si>
    <t>Monitoring site, facility, permit location, water body, watershed, coastal feature, parcel, point, line, polygon or raster; varies by layer</t>
  </si>
  <si>
    <t>Varies by dataset and application; no unified date range</t>
  </si>
  <si>
    <t>Varies by layer and program</t>
  </si>
  <si>
    <t>Coordinates, facility or site name, permit identifiers, environmental-program category, monitoring location, watershed, water body, county, status, boundaries, pollutant or parameter attributes and application-specific measures</t>
  </si>
  <si>
    <t>Environmental-exposure linkage; proximity and buffer analysis; mapping regulated facilities; watershed and coastal analyses; environmental-justice research; identifying permits, monitoring sites and potential exposure sources</t>
  </si>
  <si>
    <t>EPA ECHO; EPA FRS; EPA TRI; Water Quality Portal; ATTAINS; How’s My Waterway; SCDNR GIS Open Data; Annual NLCD; FEMA National Risk Index; American Community Survey</t>
  </si>
  <si>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</si>
  <si>
    <t>Public data generally do not require authentication, but service use may be logged. Review each layer’s metadata, attribution and terms; do not attempt to access nonpublic underlying systems or data.</t>
  </si>
  <si>
    <t>https://www.scseagrant.org/sc-water-monitoring-portal/</t>
  </si>
  <si>
    <t>ArcGIS-based statewide application for visualizing, filtering and downloading South Carolina water-quality monitoring results</t>
  </si>
  <si>
    <t>Public interactive map with filters for water-quality category, sample date, submitting organization, county, watershed and sub-watershed; users may download selected data.</t>
  </si>
  <si>
    <t>Environmental exposure; water quality; surface water; monitoring sites; watersheds; bacteria; nutrients; impaired waters; TMDLs</t>
  </si>
  <si>
    <t>South Carolina water quality, water monitoring, SC Sea Grant, College of Charleston, Water Quality Portal, monitoring stations, bacteria, nutrients, county, HUC10, HUC12, watershed, impaired waters, TMDL</t>
  </si>
  <si>
    <t>Surface-water quality, monitoring locations, physical and chemical parameters, bacteria, nutrients, watershed conditions, impaired waters and TMDLs</t>
  </si>
  <si>
    <t>South Carolina water-quality monitoring sites, samples, water bodies and watersheds</t>
  </si>
  <si>
    <t>Monitoring site, sample location, county, watershed, sub-watershed and water body</t>
  </si>
  <si>
    <t>Varies by monitoring organization and parameter; no single unified date range stated</t>
  </si>
  <si>
    <t>Irregular; dependent on updates from the Water Quality Portal and contributing organizations</t>
  </si>
  <si>
    <t>Monitoring-site identifier, coordinates, collection date, submitting organization, county, watershed, parameter or characteristic name, result value, unit, sample medium and water-quality category</t>
  </si>
  <si>
    <t>Link water-quality measurements to communities or health outcomes; identify monitoring coverage; evaluate spatial and temporal water-quality trends; examine bacteria or nutrient measurements; support watershed and environmental-exposure studies</t>
  </si>
  <si>
    <t>National Water Quality Portal; SCDES GIS Hub; SCDES Watershed Atlas; ATTAINS; How’s My Waterway; WATERS; USGS stream gauges; Census TIGER/Line; American Community Survey</t>
  </si>
  <si>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</si>
  <si>
    <t>Public environmental-monitoring data. Retain the submitting-organization identifier, site identifier, result qualifiers, units, analytical method and detection-limit fields. Use the original provider or national Water Quality Portal for reproducible extraction and source verification</t>
  </si>
  <si>
    <t>DS-059</t>
  </si>
  <si>
    <t>DS-060</t>
  </si>
  <si>
    <t>DS-061</t>
  </si>
  <si>
    <t>DS-062</t>
  </si>
  <si>
    <t>DS-063</t>
  </si>
  <si>
    <t>DS-064</t>
  </si>
  <si>
    <t>DS-065</t>
  </si>
  <si>
    <t>DS-066</t>
  </si>
  <si>
    <t>DS-067</t>
  </si>
  <si>
    <t>DS-068</t>
  </si>
  <si>
    <t>DS-069</t>
  </si>
  <si>
    <t>DS-070</t>
  </si>
  <si>
    <t>DS-071</t>
  </si>
  <si>
    <t>DS-072</t>
  </si>
  <si>
    <t>DS-073</t>
  </si>
  <si>
    <t>DS-074</t>
  </si>
  <si>
    <t>DS-075</t>
  </si>
  <si>
    <t>DS-076</t>
  </si>
  <si>
    <t>DS-077</t>
  </si>
  <si>
    <t>DS-078</t>
  </si>
  <si>
    <t>DS-079</t>
  </si>
  <si>
    <t>DS-080</t>
  </si>
  <si>
    <t>DS-081</t>
  </si>
  <si>
    <t>DS-082</t>
  </si>
  <si>
    <t>DS-083</t>
  </si>
  <si>
    <t>DS-084</t>
  </si>
  <si>
    <t>DS-085</t>
  </si>
  <si>
    <t>DS-086</t>
  </si>
  <si>
    <t>DS-087</t>
  </si>
  <si>
    <t>DS-088</t>
  </si>
  <si>
    <t>DS-089</t>
  </si>
  <si>
    <t>DS-090</t>
  </si>
  <si>
    <t>DS-091</t>
  </si>
  <si>
    <t>DS-092</t>
  </si>
  <si>
    <t>DS-093</t>
  </si>
  <si>
    <t>DS-094</t>
  </si>
  <si>
    <t>DS-095</t>
  </si>
  <si>
    <t>DS-096</t>
  </si>
  <si>
    <t>DS-097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</si>
</sst>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name val="Carlito"/>
    </font>
    <font>
      <b/>
      <sz val="14"/>
      <color rgb="FFFFFFFF"/>
      <name val="Carlito"/>
    </font>
    <font>
      <b/>
      <sz val="11"/>
      <color rgb="FFFFFFFF"/>
      <name val="Carlito"/>
    </font>
    <font>
      <b/>
      <sz val="11"/>
      <name val="Carlito"/>
    </font>
    <font>
      <u/>
      <sz val="11"/>
      <color theme="10"/>
      <name val="Carlito"/>
    </font>
    <font>
      <sz val="11"/>
      <color rgb="FF000000"/>
      <name val="Carlito"/>
    </font>
    <font>
      <sz val="10"/>
      <name val="Arial Unicode MS"/>
      <family val="2"/>
    </font>
    <font>
      <sz val="11"/>
      <color rgb="FF9C0006"/>
      <name val="Calibri"/>
      <family val="2"/>
      <scheme val="minor"/>
    </font>
    <font>
      <sz val="8"/>
      <name val="Carlito"/>
    </font>
  </fonts>
  <fills count="7">
    <fill>
      <patternFill patternType="none"/>
    </fill>
    <fill>
      <patternFill patternType="gray125"/>
    </fill>
    <fill>
      <patternFill patternType="solid">
        <fgColor rgb="FF1F4E79"/>
      </patternFill>
    </fill>
    <fill>
      <patternFill patternType="solid">
        <fgColor rgb="FF2F75B5"/>
      </patternFill>
    </fill>
    <fill>
      <patternFill patternType="solid">
        <fgColor rgb="FFF3F6FA"/>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4" fillId="0" borderId="0" applyNumberFormat="0" applyFill="0" applyBorder="0" applyAlignment="0" applyProtection="0"/>
    <xf numFmtId="0" fontId="7" fillId="6" borderId="0" applyNumberFormat="0" applyBorder="0" applyAlignment="0" applyProtection="0"/>
  </cellStyleXfs>
  <cellXfs count="21">
    <xf numFmtId="0" fontId="0" fillId="0" borderId="0" xfId="0"/>
    <xf numFmtId="0" fontId="2" fillId="3" borderId="0" xfId="0" applyFont="1" applyFill="1" applyAlignment="1">
      <alignment horizontal="center"/>
    </xf>
    <xf numFmtId="0" fontId="3" fillId="4" borderId="0" xfId="0" applyFont="1" applyFill="1"/>
    <xf numFmtId="0" fontId="0" fillId="0" borderId="0" xfId="0" applyAlignment="1">
      <alignment wrapText="1"/>
    </xf>
    <xf numFmtId="0" fontId="0" fillId="0" borderId="0" xfId="0" applyAlignment="1">
      <alignment vertical="top" wrapText="1"/>
    </xf>
    <xf numFmtId="0" fontId="2" fillId="3" borderId="0" xfId="0" applyFont="1" applyFill="1" applyAlignment="1">
      <alignment horizontal="center" wrapText="1"/>
    </xf>
    <xf numFmtId="0" fontId="2" fillId="3" borderId="0" xfId="0" applyFont="1" applyFill="1" applyAlignment="1">
      <alignment horizontal="center" vertical="top" wrapText="1"/>
    </xf>
    <xf numFmtId="0" fontId="0" fillId="0" borderId="0" xfId="0" applyAlignment="1">
      <alignment vertical="top"/>
    </xf>
    <xf numFmtId="0" fontId="4"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4" fillId="0" borderId="0" xfId="1"/>
    <xf numFmtId="0" fontId="0" fillId="0" borderId="0" xfId="0" applyAlignment="1">
      <alignment horizontal="left" vertical="top" wrapText="1"/>
    </xf>
    <xf numFmtId="0" fontId="5" fillId="5" borderId="0" xfId="0" applyFont="1" applyFill="1" applyAlignment="1">
      <alignment vertical="top" wrapText="1"/>
    </xf>
    <xf numFmtId="0" fontId="5" fillId="0" borderId="0" xfId="0" applyFont="1" applyAlignment="1">
      <alignment vertical="top" wrapText="1"/>
    </xf>
    <xf numFmtId="0" fontId="4" fillId="0" borderId="0" xfId="1" applyAlignment="1">
      <alignment vertical="top"/>
    </xf>
    <xf numFmtId="0" fontId="6" fillId="0" borderId="0" xfId="0" applyFont="1"/>
    <xf numFmtId="14" fontId="0" fillId="0" borderId="0" xfId="0" applyNumberFormat="1" applyAlignment="1">
      <alignment vertical="top"/>
    </xf>
    <xf numFmtId="0" fontId="7" fillId="6" borderId="0" xfId="2" applyAlignment="1">
      <alignment vertical="top"/>
    </xf>
    <xf numFmtId="0" fontId="1" fillId="2" borderId="0" xfId="0" applyFont="1" applyFill="1" applyAlignment="1">
      <alignment horizontal="center" wrapText="1"/>
    </xf>
    <xf numFmtId="0" fontId="1" fillId="2" borderId="0" xfId="0" applyFont="1" applyFill="1" applyAlignment="1">
      <alignment horizontal="center"/>
    </xf>
  </cellXfs>
  <cellStyles count="3">
    <cellStyle name="Bad" xfId="2" builtinId="27"/>
    <cellStyle name="Hyperlink" xfId="1" builtinId="8"/>
    <cellStyle name="Normal" xfId="0" builtinId="0"/>
  </cellStyles>
  <dxfs count="1">
    <dxf>
      <alignmen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98">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tableColumn id="5" xr3:uid="{00000000-0010-0000-0000-000005000000}" name="Main Data Type / Use"/>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0"/>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DictionaryTable" displayName="DataDictionaryTable" ref="A1:D37">
  <tableColumns count="4">
    <tableColumn id="1" xr3:uid="{00000000-0010-0000-0100-000001000000}" name="Field"/>
    <tableColumn id="2" xr3:uid="{00000000-0010-0000-0100-000002000000}" name="Definition"/>
    <tableColumn id="3" xr3:uid="{00000000-0010-0000-0100-000003000000}" name="Source / Filled Status"/>
    <tableColumn id="4" xr3:uid="{00000000-0010-0000-0100-000004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ategoryKeywordsTable" displayName="CategoryKeywordsTable" ref="A1:D21">
  <tableColumns count="4">
    <tableColumn id="1" xr3:uid="{00000000-0010-0000-0200-000001000000}" name="Category"/>
    <tableColumn id="2" xr3:uid="{00000000-0010-0000-0200-000002000000}" name="Core Keywords"/>
    <tableColumn id="3" xr3:uid="{00000000-0010-0000-0200-000003000000}" name="Synonyms / Related Terms"/>
    <tableColumn id="4" xr3:uid="{00000000-0010-0000-0200-000004000000}" name="Example Sourc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emoScenariosTable" displayName="DemoScenariosTable" ref="A1:F5">
  <tableColumns count="6">
    <tableColumn id="1" xr3:uid="{00000000-0010-0000-0300-000001000000}" name="Scenario ID"/>
    <tableColumn id="2" xr3:uid="{00000000-0010-0000-0300-000002000000}" name="Research Question / User Input"/>
    <tableColumn id="3" xr3:uid="{00000000-0010-0000-0300-000003000000}" name="Example Keywords"/>
    <tableColumn id="4" xr3:uid="{00000000-0010-0000-0300-000004000000}" name="Recommended Filters"/>
    <tableColumn id="5" xr3:uid="{00000000-0010-0000-0300-000005000000}" name="Expected Candidate Sources"/>
    <tableColumn id="6" xr3:uid="{00000000-0010-0000-0300-000006000000}" name="Demo Output Goal"/>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oringModelTable" displayName="ScoringModelTable" ref="A1:D8">
  <tableColumns count="4">
    <tableColumn id="1" xr3:uid="{00000000-0010-0000-0400-000001000000}" name="Component"/>
    <tableColumn id="2" xr3:uid="{00000000-0010-0000-0400-000002000000}" name="Default Weight"/>
    <tableColumn id="3" xr3:uid="{00000000-0010-0000-0400-000003000000}" name="How used in MVP"/>
    <tableColumn id="4" xr3:uid="{00000000-0010-0000-0400-000004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oDoTable" displayName="ToDoTable" ref="A1:E9">
  <tableColumns count="5">
    <tableColumn id="1" xr3:uid="{00000000-0010-0000-0500-000001000000}" name="Step"/>
    <tableColumn id="2" xr3:uid="{00000000-0010-0000-0500-000002000000}" name="Task"/>
    <tableColumn id="3" xr3:uid="{00000000-0010-0000-0500-000003000000}" name="Owner"/>
    <tableColumn id="4" xr3:uid="{00000000-0010-0000-0500-000004000000}" name="Deliverable"/>
    <tableColumn id="5" xr3:uid="{00000000-0010-0000-0500-000005000000}" name="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FeasibilityTestTable" displayName="FeasibilityTestTable" ref="A1:E11">
  <tableColumns count="5">
    <tableColumn id="1" xr3:uid="{00000000-0010-0000-0600-000001000000}" name="Test Area"/>
    <tableColumn id="2" xr3:uid="{00000000-0010-0000-0600-000002000000}" name="Test Question"/>
    <tableColumn id="3" xr3:uid="{00000000-0010-0000-0600-000003000000}" name="Test Method"/>
    <tableColumn id="4" xr3:uid="{00000000-0010-0000-0600-000004000000}" name="Acceptance Criteria"/>
    <tableColumn id="5" xr3:uid="{00000000-0010-0000-0600-000005000000}" name="Result / 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6" Type="http://schemas.openxmlformats.org/officeDocument/2006/relationships/hyperlink" Target="https://www.samhsa.gov/data/data-we-collect/mh-cld-mental-health-client-level-data/datafiles" TargetMode="External"/><Relationship Id="rId21" Type="http://schemas.openxmlformats.org/officeDocument/2006/relationships/hyperlink" Target="https://data.cms.gov/" TargetMode="External"/><Relationship Id="rId42" Type="http://schemas.openxmlformats.org/officeDocument/2006/relationships/hyperlink" Target="https://data.worldbank.org/" TargetMode="External"/><Relationship Id="rId47" Type="http://schemas.openxmlformats.org/officeDocument/2006/relationships/hyperlink" Target="https://www.epa.gov/toxics-release-inventory-tri-program" TargetMode="External"/><Relationship Id="rId63" Type="http://schemas.openxmlformats.org/officeDocument/2006/relationships/hyperlink" Target="https://www.mrlc.gov/data/project/annual-nlcd" TargetMode="External"/><Relationship Id="rId68" Type="http://schemas.openxmlformats.org/officeDocument/2006/relationships/hyperlink" Target="https://data-scdnr.opendata.arcgis.com/" TargetMode="External"/><Relationship Id="rId7" Type="http://schemas.openxmlformats.org/officeDocument/2006/relationships/hyperlink" Target="https://hrs.isr.umich.edu/" TargetMode="External"/><Relationship Id="rId71" Type="http://schemas.openxmlformats.org/officeDocument/2006/relationships/hyperlink" Target="https://www.scseagrant.org/sc-water-monitoring-portal/" TargetMode="External"/><Relationship Id="rId2" Type="http://schemas.openxmlformats.org/officeDocument/2006/relationships/hyperlink" Target="https://www.researchallofus.org/data-tools/workbench/" TargetMode="External"/><Relationship Id="rId16" Type="http://schemas.openxmlformats.org/officeDocument/2006/relationships/hyperlink" Target="https://www.countyhealthrankings.org/health-data" TargetMode="External"/><Relationship Id="rId29" Type="http://schemas.openxmlformats.org/officeDocument/2006/relationships/hyperlink" Target="https://aidsvu.org/" TargetMode="External"/><Relationship Id="rId11" Type="http://schemas.openxmlformats.org/officeDocument/2006/relationships/hyperlink" Target="https://www.cdc.gov/nchs/nhis/index.html" TargetMode="External"/><Relationship Id="rId24" Type="http://schemas.openxmlformats.org/officeDocument/2006/relationships/hyperlink" Target="https://www.samhsa.gov/data/data-we-collect/nsduh-national-survey-drug-use-and-health"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40" Type="http://schemas.openxmlformats.org/officeDocument/2006/relationships/hyperlink" Target="https://www.ers.usda.gov/data-products/rural-urban-continuum-codes" TargetMode="External"/><Relationship Id="rId45" Type="http://schemas.openxmlformats.org/officeDocument/2006/relationships/hyperlink" Target="https://www.atsdr.cdc.gov/place-health/php/eji/index.html" TargetMode="External"/><Relationship Id="rId53" Type="http://schemas.openxmlformats.org/officeDocument/2006/relationships/hyperlink" Target="https://map22.epa.gov/cimc/brownfields" TargetMode="External"/><Relationship Id="rId58" Type="http://schemas.openxmlformats.org/officeDocument/2006/relationships/hyperlink" Target="https://www.ncei.noaa.gov/stormevents/" TargetMode="External"/><Relationship Id="rId66" Type="http://schemas.openxmlformats.org/officeDocument/2006/relationships/hyperlink" Target="https://scdnr.maps.arcgis.com/home/" TargetMode="External"/><Relationship Id="rId5" Type="http://schemas.openxmlformats.org/officeDocument/2006/relationships/hyperlink" Target="https://biolincc.nhlbi.nih.gov/home/" TargetMode="External"/><Relationship Id="rId61" Type="http://schemas.openxmlformats.org/officeDocument/2006/relationships/hyperlink" Target="https://www.fema.gov/flood-maps/products-tools/national-risk-index" TargetMode="External"/><Relationship Id="rId19" Type="http://schemas.openxmlformats.org/officeDocument/2006/relationships/hyperlink" Target="https://meps.ahrq.gov/mepsweb/data_stats/download_data_files.jsp"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48" Type="http://schemas.openxmlformats.org/officeDocument/2006/relationships/hyperlink" Target="https://www.epa.gov/rsei" TargetMode="External"/><Relationship Id="rId56" Type="http://schemas.openxmlformats.org/officeDocument/2006/relationships/hyperlink" Target="https://prism.oregonstate.edu/https:/prism.oregonstate.edu/" TargetMode="External"/><Relationship Id="rId64" Type="http://schemas.openxmlformats.org/officeDocument/2006/relationships/hyperlink" Target="https://www.usgs.gov/programs/gap-analysis-project/science/pad-us-data-overview" TargetMode="External"/><Relationship Id="rId69" Type="http://schemas.openxmlformats.org/officeDocument/2006/relationships/hyperlink" Target="https://dph.sc.gov/public/data-maps-reports" TargetMode="External"/><Relationship Id="rId8" Type="http://schemas.openxmlformats.org/officeDocument/2006/relationships/hyperlink" Target="https://addhealth.cpc.unc.edu/" TargetMode="External"/><Relationship Id="rId51" Type="http://schemas.openxmlformats.org/officeDocument/2006/relationships/hyperlink" Target="https://www.waterqualitydata.us/" TargetMode="External"/><Relationship Id="rId72" Type="http://schemas.openxmlformats.org/officeDocument/2006/relationships/table" Target="../tables/table1.xm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 Id="rId46" Type="http://schemas.openxmlformats.org/officeDocument/2006/relationships/hyperlink" Target="https://www.epa.gov/air-emissions-inventories/national-emissions-inventory-nei" TargetMode="External"/><Relationship Id="rId59" Type="http://schemas.openxmlformats.org/officeDocument/2006/relationships/hyperlink" Target="https://www.ncei.noaa.gov/cdo-web/" TargetMode="External"/><Relationship Id="rId67" Type="http://schemas.openxmlformats.org/officeDocument/2006/relationships/hyperlink" Target="https://dph.sc.gov/professionals/public-health-data" TargetMode="External"/><Relationship Id="rId20" Type="http://schemas.openxmlformats.org/officeDocument/2006/relationships/hyperlink" Target="https://hcup-us.ahrq.gov/" TargetMode="External"/><Relationship Id="rId41" Type="http://schemas.openxmlformats.org/officeDocument/2006/relationships/hyperlink" Target="https://www.who.int/data/gho" TargetMode="External"/><Relationship Id="rId54" Type="http://schemas.openxmlformats.org/officeDocument/2006/relationships/hyperlink" Target="https://www.epa.gov/waterdata/attains" TargetMode="External"/><Relationship Id="rId62" Type="http://schemas.openxmlformats.org/officeDocument/2006/relationships/hyperlink" Target="https://www.climatologylab.org/gridmet.html" TargetMode="External"/><Relationship Id="rId70" Type="http://schemas.openxmlformats.org/officeDocument/2006/relationships/hyperlink" Target="https://gis.des.sc.gov/SCDES_GIS_HUB/"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49" Type="http://schemas.openxmlformats.org/officeDocument/2006/relationships/hyperlink" Target="https://echo.epa.gov/" TargetMode="External"/><Relationship Id="rId57" Type="http://schemas.openxmlformats.org/officeDocument/2006/relationships/hyperlink" Target="https://waterdata.usgs.gov/" TargetMode="External"/><Relationship Id="rId10" Type="http://schemas.openxmlformats.org/officeDocument/2006/relationships/hyperlink" Target="https://wwwn.cdc.gov/nchs/nhanes/Default.aspx" TargetMode="External"/><Relationship Id="rId31" Type="http://schemas.openxmlformats.org/officeDocument/2006/relationships/hyperlink" Target="https://www.cancerimagingarchive.net/" TargetMode="External"/><Relationship Id="rId44" Type="http://schemas.openxmlformats.org/officeDocument/2006/relationships/hyperlink" Target="https://www.epa.gov/enviroatlas" TargetMode="External"/><Relationship Id="rId52" Type="http://schemas.openxmlformats.org/officeDocument/2006/relationships/hyperlink" Target="https://epa.maps.arcgis.com/home/item.html?id=e5f95175f9184d508be636377796f1c2" TargetMode="External"/><Relationship Id="rId60" Type="http://schemas.openxmlformats.org/officeDocument/2006/relationships/hyperlink" Target="https://arc.ncics.org/nclimgrid-overview/" TargetMode="External"/><Relationship Id="rId65" Type="http://schemas.openxmlformats.org/officeDocument/2006/relationships/hyperlink" Target="https://www.usgs.gov/tools/estimated-annual-agricultural-pesticide-use" TargetMode="Externa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39" Type="http://schemas.openxmlformats.org/officeDocument/2006/relationships/hyperlink" Target="https://www.ers.usda.gov/data-products/food-environment-atlas" TargetMode="External"/><Relationship Id="rId34" Type="http://schemas.openxmlformats.org/officeDocument/2006/relationships/hyperlink" Target="https://physionet.org/" TargetMode="External"/><Relationship Id="rId50" Type="http://schemas.openxmlformats.org/officeDocument/2006/relationships/hyperlink" Target="https://www.epa.gov/frs" TargetMode="External"/><Relationship Id="rId55" Type="http://schemas.openxmlformats.org/officeDocument/2006/relationships/hyperlink" Target="https://www.epa.gov/waterdata/waters-geospatial-data-download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workbookViewId="0">
      <selection activeCell="B7" sqref="B7"/>
    </sheetView>
  </sheetViews>
  <sheetFormatPr defaultRowHeight="14.25"/>
  <cols>
    <col min="1" max="1" width="24" customWidth="1"/>
    <col min="2" max="2" width="85" customWidth="1"/>
  </cols>
  <sheetData>
    <row r="1" spans="1:4" ht="18">
      <c r="A1" s="19" t="s">
        <v>0</v>
      </c>
      <c r="B1" s="19"/>
      <c r="C1" s="20"/>
      <c r="D1" s="20"/>
    </row>
    <row r="3" spans="1:4" ht="15">
      <c r="A3" s="1" t="s">
        <v>1</v>
      </c>
      <c r="B3" s="1" t="s">
        <v>2</v>
      </c>
    </row>
    <row r="4" spans="1:4" ht="15">
      <c r="A4" s="2" t="s">
        <v>3</v>
      </c>
      <c r="B4" t="s">
        <v>4</v>
      </c>
    </row>
    <row r="5" spans="1:4" ht="15">
      <c r="A5" s="2" t="s">
        <v>5</v>
      </c>
      <c r="B5" t="s">
        <v>6</v>
      </c>
    </row>
    <row r="6" spans="1:4" ht="15">
      <c r="A6" s="2" t="s">
        <v>7</v>
      </c>
      <c r="B6" t="s">
        <v>8</v>
      </c>
    </row>
    <row r="7" spans="1:4" ht="15">
      <c r="A7" s="2" t="s">
        <v>9</v>
      </c>
      <c r="B7" t="s">
        <v>10</v>
      </c>
    </row>
    <row r="8" spans="1:4" ht="15">
      <c r="A8" s="2" t="s">
        <v>11</v>
      </c>
      <c r="B8" t="s">
        <v>12</v>
      </c>
    </row>
    <row r="9" spans="1:4" ht="15">
      <c r="A9" s="2" t="s">
        <v>13</v>
      </c>
      <c r="B9" t="s">
        <v>14</v>
      </c>
    </row>
    <row r="10" spans="1:4" ht="15">
      <c r="A10" s="2"/>
    </row>
    <row r="11" spans="1:4" ht="15">
      <c r="A11" s="2"/>
    </row>
    <row r="12" spans="1:4" ht="15">
      <c r="A12" s="2"/>
    </row>
    <row r="13" spans="1:4" ht="15">
      <c r="A13" s="2"/>
    </row>
    <row r="14" spans="1:4" ht="15">
      <c r="A14" s="2"/>
    </row>
    <row r="15" spans="1:4" ht="15">
      <c r="A15" s="2"/>
    </row>
    <row r="16" spans="1:4" ht="15">
      <c r="A16" s="2"/>
    </row>
    <row r="17" spans="1:1" ht="15">
      <c r="A17" s="2"/>
    </row>
    <row r="18" spans="1:1" ht="15">
      <c r="A18" s="2"/>
    </row>
    <row r="19" spans="1:1" ht="15">
      <c r="A19" s="2"/>
    </row>
    <row r="20" spans="1:1" ht="15">
      <c r="A20" s="2"/>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01"/>
  <sheetViews>
    <sheetView tabSelected="1" workbookViewId="0">
      <pane ySplit="1" topLeftCell="A72" activePane="bottomLeft" state="frozen"/>
      <selection pane="bottomLeft" activeCell="C81" sqref="C81"/>
    </sheetView>
  </sheetViews>
  <sheetFormatPr defaultRowHeight="14.25"/>
  <cols>
    <col min="1" max="1" width="10" customWidth="1"/>
    <col min="2" max="2" width="28" customWidth="1"/>
    <col min="3" max="3" width="29.5" customWidth="1"/>
    <col min="4" max="4" width="45" customWidth="1"/>
    <col min="5" max="5" width="50"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7" customWidth="1"/>
    <col min="17" max="17" width="18" customWidth="1"/>
    <col min="18" max="18" width="16" customWidth="1"/>
    <col min="19" max="20" width="15" customWidth="1"/>
    <col min="21" max="21" width="247.125" bestFit="1" customWidth="1"/>
    <col min="22"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0">
      <c r="A1" s="6" t="s">
        <v>15</v>
      </c>
      <c r="B1" s="6" t="s">
        <v>16</v>
      </c>
      <c r="C1" s="6" t="s">
        <v>17</v>
      </c>
      <c r="D1" s="6" t="s">
        <v>18</v>
      </c>
      <c r="E1" s="6" t="s">
        <v>19</v>
      </c>
      <c r="F1" s="6" t="s">
        <v>20</v>
      </c>
      <c r="G1" s="6" t="s">
        <v>21</v>
      </c>
      <c r="H1" s="6" t="s">
        <v>22</v>
      </c>
      <c r="I1" s="6" t="s">
        <v>23</v>
      </c>
      <c r="J1" s="6" t="s">
        <v>24</v>
      </c>
      <c r="K1" s="6" t="s">
        <v>25</v>
      </c>
      <c r="L1" s="6" t="s">
        <v>26</v>
      </c>
      <c r="M1" s="6" t="s">
        <v>27</v>
      </c>
      <c r="N1" s="6" t="s">
        <v>28</v>
      </c>
      <c r="O1" s="6" t="s">
        <v>29</v>
      </c>
      <c r="P1" s="6" t="s">
        <v>30</v>
      </c>
      <c r="Q1" s="6" t="s">
        <v>31</v>
      </c>
      <c r="R1" s="6" t="s">
        <v>32</v>
      </c>
      <c r="S1" s="6" t="s">
        <v>33</v>
      </c>
      <c r="T1" s="6" t="s">
        <v>34</v>
      </c>
      <c r="U1" s="6" t="s">
        <v>35</v>
      </c>
      <c r="V1" s="6" t="s">
        <v>36</v>
      </c>
      <c r="W1" s="6" t="s">
        <v>37</v>
      </c>
      <c r="X1" s="6" t="s">
        <v>38</v>
      </c>
      <c r="Y1" s="6" t="s">
        <v>39</v>
      </c>
      <c r="Z1" s="6" t="s">
        <v>40</v>
      </c>
      <c r="AA1" s="6" t="s">
        <v>41</v>
      </c>
      <c r="AB1" s="6" t="s">
        <v>42</v>
      </c>
      <c r="AC1" s="6" t="s">
        <v>43</v>
      </c>
      <c r="AD1" s="6" t="s">
        <v>44</v>
      </c>
      <c r="AE1" s="6" t="s">
        <v>45</v>
      </c>
      <c r="AF1" s="6" t="s">
        <v>46</v>
      </c>
      <c r="AG1" s="6" t="s">
        <v>47</v>
      </c>
      <c r="AH1" s="6" t="s">
        <v>48</v>
      </c>
      <c r="AI1" s="6" t="s">
        <v>49</v>
      </c>
      <c r="AJ1" s="6" t="s">
        <v>50</v>
      </c>
    </row>
    <row r="2" spans="1:36" ht="114" customHeight="1">
      <c r="A2" s="4" t="s">
        <v>51</v>
      </c>
      <c r="B2" s="4" t="s">
        <v>52</v>
      </c>
      <c r="C2" s="4" t="s">
        <v>53</v>
      </c>
      <c r="D2" s="8" t="s">
        <v>54</v>
      </c>
      <c r="E2" s="4" t="s">
        <v>55</v>
      </c>
      <c r="F2" s="4" t="s">
        <v>56</v>
      </c>
      <c r="G2" s="4" t="s">
        <v>56</v>
      </c>
      <c r="H2" s="4" t="s">
        <v>57</v>
      </c>
      <c r="I2" s="4" t="s">
        <v>58</v>
      </c>
      <c r="J2" s="4" t="s">
        <v>59</v>
      </c>
      <c r="K2" s="4" t="s">
        <v>60</v>
      </c>
      <c r="L2" s="4" t="s">
        <v>58</v>
      </c>
      <c r="M2" s="4" t="s">
        <v>61</v>
      </c>
      <c r="N2" s="4" t="s">
        <v>62</v>
      </c>
      <c r="O2" s="4" t="s">
        <v>63</v>
      </c>
      <c r="P2" s="4" t="s">
        <v>64</v>
      </c>
      <c r="Q2" s="4" t="s">
        <v>65</v>
      </c>
      <c r="R2" s="4" t="s">
        <v>66</v>
      </c>
      <c r="S2" s="4" t="s">
        <v>67</v>
      </c>
      <c r="T2" s="4" t="s">
        <v>66</v>
      </c>
      <c r="U2" s="4" t="s">
        <v>68</v>
      </c>
      <c r="V2" s="4" t="s">
        <v>69</v>
      </c>
      <c r="W2" s="4" t="s">
        <v>57</v>
      </c>
      <c r="X2" s="4" t="s">
        <v>57</v>
      </c>
      <c r="Y2" s="4" t="s">
        <v>70</v>
      </c>
      <c r="Z2" s="4" t="s">
        <v>71</v>
      </c>
      <c r="AA2" s="4" t="s">
        <v>72</v>
      </c>
      <c r="AB2" s="4" t="s">
        <v>73</v>
      </c>
      <c r="AC2" s="4" t="s">
        <v>74</v>
      </c>
      <c r="AD2" s="4"/>
      <c r="AE2" s="4" t="s">
        <v>75</v>
      </c>
      <c r="AF2" s="9">
        <v>46184</v>
      </c>
      <c r="AG2" s="4" t="s">
        <v>76</v>
      </c>
      <c r="AH2" s="4" t="s">
        <v>77</v>
      </c>
      <c r="AI2" s="4" t="s">
        <v>78</v>
      </c>
      <c r="AJ2" s="4"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4" t="s">
        <v>79</v>
      </c>
      <c r="B3" s="4" t="s">
        <v>80</v>
      </c>
      <c r="C3" s="4" t="s">
        <v>81</v>
      </c>
      <c r="D3" s="8" t="s">
        <v>82</v>
      </c>
      <c r="E3" s="4" t="s">
        <v>83</v>
      </c>
      <c r="F3" s="4" t="s">
        <v>84</v>
      </c>
      <c r="G3" s="4" t="s">
        <v>84</v>
      </c>
      <c r="H3" s="4" t="s">
        <v>57</v>
      </c>
      <c r="I3" s="4" t="s">
        <v>58</v>
      </c>
      <c r="J3" s="4" t="s">
        <v>85</v>
      </c>
      <c r="K3" s="4" t="s">
        <v>86</v>
      </c>
      <c r="L3" s="4" t="s">
        <v>87</v>
      </c>
      <c r="M3" s="4" t="s">
        <v>88</v>
      </c>
      <c r="N3" s="4" t="s">
        <v>89</v>
      </c>
      <c r="O3" s="4" t="s">
        <v>63</v>
      </c>
      <c r="P3" s="4" t="s">
        <v>64</v>
      </c>
      <c r="Q3" s="4" t="s">
        <v>90</v>
      </c>
      <c r="R3" s="4" t="s">
        <v>66</v>
      </c>
      <c r="S3" s="4" t="s">
        <v>67</v>
      </c>
      <c r="T3" s="4" t="s">
        <v>66</v>
      </c>
      <c r="U3" s="4" t="s">
        <v>91</v>
      </c>
      <c r="V3" s="4" t="s">
        <v>69</v>
      </c>
      <c r="W3" s="4" t="s">
        <v>57</v>
      </c>
      <c r="X3" s="4" t="s">
        <v>57</v>
      </c>
      <c r="Y3" s="4" t="s">
        <v>92</v>
      </c>
      <c r="Z3" s="4" t="s">
        <v>93</v>
      </c>
      <c r="AA3" s="4" t="s">
        <v>94</v>
      </c>
      <c r="AB3" s="4" t="s">
        <v>95</v>
      </c>
      <c r="AC3" s="4" t="s">
        <v>96</v>
      </c>
      <c r="AD3" s="4"/>
      <c r="AE3" s="4" t="s">
        <v>75</v>
      </c>
      <c r="AF3" s="9">
        <v>46184</v>
      </c>
      <c r="AG3" s="4" t="s">
        <v>76</v>
      </c>
      <c r="AH3" s="4" t="s">
        <v>77</v>
      </c>
      <c r="AI3" s="4" t="s">
        <v>78</v>
      </c>
      <c r="AJ3" s="4"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all of us ehr; clinical, electronic health record; genomics; survey; mobile device data; physical measurements; health care utlization/cost;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her-derived variables; mortality; claims; mobility; lifestyle; physical activity; genotyping; biomarkers; whole genome sequencing; nutrition; environmental exposures; minute-level metrics; device provenance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4" t="s">
        <v>97</v>
      </c>
      <c r="B4" s="4" t="s">
        <v>98</v>
      </c>
      <c r="C4" s="4" t="s">
        <v>99</v>
      </c>
      <c r="D4" s="8" t="s">
        <v>100</v>
      </c>
      <c r="E4" s="4" t="s">
        <v>101</v>
      </c>
      <c r="F4" s="4" t="s">
        <v>102</v>
      </c>
      <c r="G4" s="4" t="s">
        <v>102</v>
      </c>
      <c r="H4" s="4" t="s">
        <v>77</v>
      </c>
      <c r="I4" s="4" t="s">
        <v>103</v>
      </c>
      <c r="J4" s="4" t="s">
        <v>104</v>
      </c>
      <c r="K4" s="4" t="s">
        <v>105</v>
      </c>
      <c r="L4" s="4" t="s">
        <v>106</v>
      </c>
      <c r="M4" s="4" t="s">
        <v>103</v>
      </c>
      <c r="N4" s="4" t="s">
        <v>107</v>
      </c>
      <c r="O4" s="4" t="s">
        <v>63</v>
      </c>
      <c r="P4" s="4" t="s">
        <v>64</v>
      </c>
      <c r="Q4" s="4" t="s">
        <v>65</v>
      </c>
      <c r="R4" s="4" t="s">
        <v>67</v>
      </c>
      <c r="S4" s="4" t="s">
        <v>66</v>
      </c>
      <c r="T4" s="4" t="s">
        <v>66</v>
      </c>
      <c r="U4" s="4" t="s">
        <v>108</v>
      </c>
      <c r="V4" s="4" t="s">
        <v>109</v>
      </c>
      <c r="W4" s="4" t="s">
        <v>77</v>
      </c>
      <c r="X4" s="4" t="s">
        <v>77</v>
      </c>
      <c r="Y4" s="4" t="s">
        <v>110</v>
      </c>
      <c r="Z4" s="4" t="s">
        <v>111</v>
      </c>
      <c r="AA4" s="4" t="s">
        <v>112</v>
      </c>
      <c r="AB4" s="4" t="s">
        <v>113</v>
      </c>
      <c r="AC4" s="4" t="s">
        <v>114</v>
      </c>
      <c r="AD4" s="4"/>
      <c r="AE4" s="4" t="s">
        <v>75</v>
      </c>
      <c r="AF4" s="9">
        <v>46184</v>
      </c>
      <c r="AG4" s="4" t="s">
        <v>76</v>
      </c>
      <c r="AH4" s="4" t="s">
        <v>77</v>
      </c>
      <c r="AI4" s="4" t="s">
        <v>78</v>
      </c>
      <c r="AJ4" s="4"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4" t="s">
        <v>115</v>
      </c>
      <c r="B5" s="4" t="s">
        <v>116</v>
      </c>
      <c r="C5" s="4" t="s">
        <v>117</v>
      </c>
      <c r="D5" s="8" t="s">
        <v>118</v>
      </c>
      <c r="E5" s="4" t="s">
        <v>119</v>
      </c>
      <c r="F5" s="4" t="s">
        <v>56</v>
      </c>
      <c r="G5" s="4" t="s">
        <v>56</v>
      </c>
      <c r="H5" s="4" t="s">
        <v>57</v>
      </c>
      <c r="I5" s="4" t="s">
        <v>120</v>
      </c>
      <c r="J5" s="4" t="s">
        <v>121</v>
      </c>
      <c r="K5" s="7" t="s">
        <v>122</v>
      </c>
      <c r="L5" s="7" t="s">
        <v>87</v>
      </c>
      <c r="M5" s="4" t="s">
        <v>123</v>
      </c>
      <c r="N5" s="10" t="s">
        <v>124</v>
      </c>
      <c r="O5" s="4" t="s">
        <v>63</v>
      </c>
      <c r="P5" s="4" t="s">
        <v>64</v>
      </c>
      <c r="Q5" s="4" t="s">
        <v>90</v>
      </c>
      <c r="R5" s="4" t="s">
        <v>66</v>
      </c>
      <c r="S5" s="4" t="s">
        <v>67</v>
      </c>
      <c r="T5" s="4" t="s">
        <v>66</v>
      </c>
      <c r="U5" s="4" t="s">
        <v>125</v>
      </c>
      <c r="V5" s="4" t="s">
        <v>69</v>
      </c>
      <c r="W5" s="4" t="s">
        <v>57</v>
      </c>
      <c r="X5" s="4" t="s">
        <v>77</v>
      </c>
      <c r="Y5" s="4" t="s">
        <v>126</v>
      </c>
      <c r="Z5" s="4" t="s">
        <v>127</v>
      </c>
      <c r="AA5" s="4" t="s">
        <v>128</v>
      </c>
      <c r="AB5" s="4" t="s">
        <v>129</v>
      </c>
      <c r="AC5" s="4" t="s">
        <v>130</v>
      </c>
      <c r="AD5" s="4"/>
      <c r="AE5" s="4" t="s">
        <v>75</v>
      </c>
      <c r="AF5" s="9">
        <v>46184</v>
      </c>
      <c r="AG5" s="4" t="s">
        <v>131</v>
      </c>
      <c r="AH5" s="4" t="s">
        <v>77</v>
      </c>
      <c r="AI5" s="4" t="s">
        <v>78</v>
      </c>
      <c r="AJ5" s="4"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4" t="s">
        <v>132</v>
      </c>
      <c r="B6" s="4" t="s">
        <v>133</v>
      </c>
      <c r="C6" s="4" t="s">
        <v>134</v>
      </c>
      <c r="D6" s="11" t="s">
        <v>135</v>
      </c>
      <c r="E6" s="4" t="s">
        <v>136</v>
      </c>
      <c r="F6" s="4" t="s">
        <v>84</v>
      </c>
      <c r="G6" s="4" t="s">
        <v>56</v>
      </c>
      <c r="H6" s="4" t="s">
        <v>57</v>
      </c>
      <c r="I6" s="4" t="s">
        <v>137</v>
      </c>
      <c r="J6" s="4" t="s">
        <v>138</v>
      </c>
      <c r="K6" s="4" t="s">
        <v>139</v>
      </c>
      <c r="L6" s="4" t="s">
        <v>140</v>
      </c>
      <c r="M6" s="10" t="s">
        <v>141</v>
      </c>
      <c r="N6" s="4" t="s">
        <v>142</v>
      </c>
      <c r="O6" s="4" t="s">
        <v>63</v>
      </c>
      <c r="P6" s="4" t="s">
        <v>64</v>
      </c>
      <c r="Q6" s="4" t="s">
        <v>90</v>
      </c>
      <c r="R6" s="4" t="s">
        <v>66</v>
      </c>
      <c r="S6" s="4" t="s">
        <v>143</v>
      </c>
      <c r="T6" s="4" t="s">
        <v>66</v>
      </c>
      <c r="U6" s="4" t="s">
        <v>144</v>
      </c>
      <c r="V6" s="4" t="s">
        <v>145</v>
      </c>
      <c r="W6" s="4" t="s">
        <v>57</v>
      </c>
      <c r="X6" s="4" t="s">
        <v>77</v>
      </c>
      <c r="Y6" s="4" t="s">
        <v>146</v>
      </c>
      <c r="Z6" s="4" t="s">
        <v>147</v>
      </c>
      <c r="AA6" s="4" t="s">
        <v>148</v>
      </c>
      <c r="AB6" s="4" t="s">
        <v>149</v>
      </c>
      <c r="AC6" s="4" t="s">
        <v>150</v>
      </c>
      <c r="AD6" s="4"/>
      <c r="AE6" s="4" t="s">
        <v>75</v>
      </c>
      <c r="AF6" s="9">
        <v>46184</v>
      </c>
      <c r="AG6" s="4" t="s">
        <v>131</v>
      </c>
      <c r="AH6" s="4" t="s">
        <v>151</v>
      </c>
      <c r="AI6" s="4" t="s">
        <v>78</v>
      </c>
      <c r="AJ6" s="4"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4" t="s">
        <v>152</v>
      </c>
      <c r="B7" s="4" t="s">
        <v>153</v>
      </c>
      <c r="C7" s="4" t="s">
        <v>154</v>
      </c>
      <c r="D7" s="11" t="s">
        <v>153</v>
      </c>
      <c r="E7" s="4" t="s">
        <v>155</v>
      </c>
      <c r="F7" s="4" t="s">
        <v>56</v>
      </c>
      <c r="G7" s="4" t="s">
        <v>56</v>
      </c>
      <c r="H7" s="4" t="s">
        <v>57</v>
      </c>
      <c r="I7" s="4" t="s">
        <v>156</v>
      </c>
      <c r="J7" s="4" t="s">
        <v>157</v>
      </c>
      <c r="K7" s="4" t="s">
        <v>158</v>
      </c>
      <c r="L7" s="4" t="s">
        <v>140</v>
      </c>
      <c r="M7" s="4" t="s">
        <v>159</v>
      </c>
      <c r="N7" s="4" t="s">
        <v>160</v>
      </c>
      <c r="O7" s="4" t="s">
        <v>63</v>
      </c>
      <c r="P7" s="4" t="s">
        <v>64</v>
      </c>
      <c r="Q7" s="4" t="s">
        <v>90</v>
      </c>
      <c r="R7" s="4" t="s">
        <v>66</v>
      </c>
      <c r="S7" s="4" t="s">
        <v>143</v>
      </c>
      <c r="T7" s="4" t="s">
        <v>66</v>
      </c>
      <c r="U7" s="4" t="s">
        <v>161</v>
      </c>
      <c r="V7" s="4" t="s">
        <v>162</v>
      </c>
      <c r="W7" s="4" t="s">
        <v>57</v>
      </c>
      <c r="X7" s="4" t="s">
        <v>151</v>
      </c>
      <c r="Y7" s="4" t="s">
        <v>163</v>
      </c>
      <c r="Z7" s="4" t="s">
        <v>164</v>
      </c>
      <c r="AA7" s="4" t="s">
        <v>165</v>
      </c>
      <c r="AB7" s="4" t="s">
        <v>166</v>
      </c>
      <c r="AC7" s="4" t="s">
        <v>167</v>
      </c>
      <c r="AD7" s="4"/>
      <c r="AE7" s="4" t="s">
        <v>75</v>
      </c>
      <c r="AF7" s="9">
        <v>46184</v>
      </c>
      <c r="AG7" s="4" t="s">
        <v>131</v>
      </c>
      <c r="AH7" s="4" t="s">
        <v>77</v>
      </c>
      <c r="AI7" s="4" t="s">
        <v>78</v>
      </c>
      <c r="AJ7" s="4"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7.75">
      <c r="A8" s="4" t="s">
        <v>168</v>
      </c>
      <c r="B8" s="4" t="s">
        <v>169</v>
      </c>
      <c r="C8" s="4" t="s">
        <v>170</v>
      </c>
      <c r="D8" s="8" t="s">
        <v>171</v>
      </c>
      <c r="E8" s="4" t="s">
        <v>172</v>
      </c>
      <c r="F8" s="4" t="s">
        <v>173</v>
      </c>
      <c r="G8" s="4" t="s">
        <v>174</v>
      </c>
      <c r="H8" s="4" t="s">
        <v>77</v>
      </c>
      <c r="I8" s="4" t="s">
        <v>175</v>
      </c>
      <c r="J8" s="4" t="s">
        <v>176</v>
      </c>
      <c r="K8" s="4" t="s">
        <v>177</v>
      </c>
      <c r="L8" s="4" t="s">
        <v>140</v>
      </c>
      <c r="M8" s="4" t="s">
        <v>178</v>
      </c>
      <c r="N8" s="4" t="s">
        <v>179</v>
      </c>
      <c r="O8" s="4" t="s">
        <v>63</v>
      </c>
      <c r="P8" s="4" t="s">
        <v>64</v>
      </c>
      <c r="Q8" s="4" t="s">
        <v>90</v>
      </c>
      <c r="R8" s="4" t="s">
        <v>66</v>
      </c>
      <c r="S8" s="4" t="s">
        <v>67</v>
      </c>
      <c r="T8" s="4" t="s">
        <v>66</v>
      </c>
      <c r="U8" s="4" t="s">
        <v>180</v>
      </c>
      <c r="V8" s="4" t="s">
        <v>181</v>
      </c>
      <c r="W8" s="4" t="s">
        <v>57</v>
      </c>
      <c r="X8" s="4" t="s">
        <v>77</v>
      </c>
      <c r="Y8" s="4" t="s">
        <v>182</v>
      </c>
      <c r="Z8" s="4" t="s">
        <v>183</v>
      </c>
      <c r="AA8" s="4" t="s">
        <v>184</v>
      </c>
      <c r="AB8" s="4" t="s">
        <v>185</v>
      </c>
      <c r="AC8" s="4" t="s">
        <v>186</v>
      </c>
      <c r="AD8" s="4"/>
      <c r="AE8" s="4" t="s">
        <v>67</v>
      </c>
      <c r="AF8" s="9">
        <v>46185</v>
      </c>
      <c r="AG8" s="4" t="s">
        <v>76</v>
      </c>
      <c r="AH8" s="4" t="s">
        <v>77</v>
      </c>
      <c r="AI8" s="4" t="s">
        <v>78</v>
      </c>
      <c r="AJ8" s="4"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6.5">
      <c r="A9" s="4" t="s">
        <v>187</v>
      </c>
      <c r="B9" s="4" t="s">
        <v>188</v>
      </c>
      <c r="C9" s="4" t="s">
        <v>189</v>
      </c>
      <c r="D9" s="8" t="s">
        <v>190</v>
      </c>
      <c r="E9" s="4" t="s">
        <v>191</v>
      </c>
      <c r="F9" s="4" t="s">
        <v>174</v>
      </c>
      <c r="G9" s="4" t="s">
        <v>174</v>
      </c>
      <c r="H9" s="4" t="s">
        <v>77</v>
      </c>
      <c r="I9" s="4" t="s">
        <v>175</v>
      </c>
      <c r="J9" s="4" t="s">
        <v>192</v>
      </c>
      <c r="K9" s="4" t="s">
        <v>193</v>
      </c>
      <c r="L9" s="4" t="s">
        <v>140</v>
      </c>
      <c r="M9" s="4" t="s">
        <v>175</v>
      </c>
      <c r="N9" s="4" t="s">
        <v>194</v>
      </c>
      <c r="O9" s="4" t="s">
        <v>63</v>
      </c>
      <c r="P9" s="4" t="s">
        <v>64</v>
      </c>
      <c r="Q9" s="4" t="s">
        <v>90</v>
      </c>
      <c r="R9" s="4" t="s">
        <v>66</v>
      </c>
      <c r="S9" s="4" t="s">
        <v>67</v>
      </c>
      <c r="T9" s="4" t="s">
        <v>66</v>
      </c>
      <c r="U9" s="4" t="s">
        <v>195</v>
      </c>
      <c r="V9" s="4" t="s">
        <v>69</v>
      </c>
      <c r="W9" s="4" t="s">
        <v>57</v>
      </c>
      <c r="X9" s="4" t="s">
        <v>77</v>
      </c>
      <c r="Y9" s="4" t="s">
        <v>196</v>
      </c>
      <c r="Z9" s="4" t="s">
        <v>197</v>
      </c>
      <c r="AA9" s="4" t="s">
        <v>198</v>
      </c>
      <c r="AB9" s="4" t="s">
        <v>199</v>
      </c>
      <c r="AC9" s="4" t="s">
        <v>200</v>
      </c>
      <c r="AD9" s="4"/>
      <c r="AE9" s="4" t="s">
        <v>67</v>
      </c>
      <c r="AF9" s="9">
        <v>46185</v>
      </c>
      <c r="AG9" s="4" t="s">
        <v>76</v>
      </c>
      <c r="AH9" s="4" t="s">
        <v>77</v>
      </c>
      <c r="AI9" s="4" t="s">
        <v>78</v>
      </c>
      <c r="AJ9" s="4"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13.5">
      <c r="A10" s="4" t="s">
        <v>201</v>
      </c>
      <c r="B10" s="4" t="s">
        <v>202</v>
      </c>
      <c r="C10" s="4" t="s">
        <v>203</v>
      </c>
      <c r="D10" s="4" t="s">
        <v>204</v>
      </c>
      <c r="E10" s="4" t="s">
        <v>205</v>
      </c>
      <c r="F10" s="4" t="s">
        <v>56</v>
      </c>
      <c r="G10" s="4" t="s">
        <v>56</v>
      </c>
      <c r="H10" s="4" t="s">
        <v>57</v>
      </c>
      <c r="I10" s="4" t="s">
        <v>206</v>
      </c>
      <c r="J10" s="4" t="s">
        <v>207</v>
      </c>
      <c r="K10" s="4" t="s">
        <v>208</v>
      </c>
      <c r="L10" s="4" t="s">
        <v>140</v>
      </c>
      <c r="M10" s="4" t="s">
        <v>209</v>
      </c>
      <c r="N10" s="4" t="s">
        <v>210</v>
      </c>
      <c r="O10" s="4" t="s">
        <v>211</v>
      </c>
      <c r="P10" s="4" t="s">
        <v>64</v>
      </c>
      <c r="Q10" s="4" t="s">
        <v>90</v>
      </c>
      <c r="R10" s="4" t="s">
        <v>66</v>
      </c>
      <c r="S10" s="4" t="s">
        <v>67</v>
      </c>
      <c r="T10" s="4" t="s">
        <v>66</v>
      </c>
      <c r="U10" s="4" t="s">
        <v>212</v>
      </c>
      <c r="V10" s="4" t="s">
        <v>69</v>
      </c>
      <c r="W10" s="4" t="s">
        <v>57</v>
      </c>
      <c r="X10" s="4" t="s">
        <v>151</v>
      </c>
      <c r="Y10" s="4" t="s">
        <v>213</v>
      </c>
      <c r="Z10" s="4" t="s">
        <v>214</v>
      </c>
      <c r="AA10" s="4" t="s">
        <v>215</v>
      </c>
      <c r="AB10" s="4" t="s">
        <v>216</v>
      </c>
      <c r="AC10" s="4" t="s">
        <v>217</v>
      </c>
      <c r="AD10" s="4"/>
      <c r="AE10" s="4" t="s">
        <v>67</v>
      </c>
      <c r="AF10" s="9">
        <v>46185</v>
      </c>
      <c r="AG10" s="4" t="s">
        <v>76</v>
      </c>
      <c r="AH10" s="4" t="s">
        <v>77</v>
      </c>
      <c r="AI10" s="4" t="s">
        <v>78</v>
      </c>
      <c r="AJ10" s="4"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 r="A11" s="4" t="s">
        <v>218</v>
      </c>
      <c r="B11" s="4" t="s">
        <v>219</v>
      </c>
      <c r="C11" s="4" t="s">
        <v>220</v>
      </c>
      <c r="D11" s="8" t="s">
        <v>221</v>
      </c>
      <c r="E11" s="4" t="s">
        <v>222</v>
      </c>
      <c r="F11" s="4" t="s">
        <v>84</v>
      </c>
      <c r="G11" s="4" t="s">
        <v>84</v>
      </c>
      <c r="H11" s="4" t="s">
        <v>57</v>
      </c>
      <c r="I11" s="4" t="s">
        <v>223</v>
      </c>
      <c r="J11" s="4" t="s">
        <v>224</v>
      </c>
      <c r="K11" s="4" t="s">
        <v>225</v>
      </c>
      <c r="L11" s="4" t="s">
        <v>140</v>
      </c>
      <c r="M11" s="4" t="s">
        <v>226</v>
      </c>
      <c r="N11" s="4" t="s">
        <v>227</v>
      </c>
      <c r="O11" s="4" t="s">
        <v>211</v>
      </c>
      <c r="P11" s="4" t="s">
        <v>64</v>
      </c>
      <c r="Q11" s="4" t="s">
        <v>90</v>
      </c>
      <c r="R11" s="4" t="s">
        <v>66</v>
      </c>
      <c r="S11" s="4" t="s">
        <v>67</v>
      </c>
      <c r="T11" s="4" t="s">
        <v>66</v>
      </c>
      <c r="U11" s="4" t="s">
        <v>228</v>
      </c>
      <c r="V11" s="4" t="s">
        <v>69</v>
      </c>
      <c r="W11" s="4" t="s">
        <v>57</v>
      </c>
      <c r="X11" s="4" t="s">
        <v>77</v>
      </c>
      <c r="Y11" s="4" t="s">
        <v>229</v>
      </c>
      <c r="Z11" s="4" t="s">
        <v>230</v>
      </c>
      <c r="AA11" s="4" t="s">
        <v>231</v>
      </c>
      <c r="AB11" s="4" t="s">
        <v>199</v>
      </c>
      <c r="AC11" s="4" t="s">
        <v>232</v>
      </c>
      <c r="AD11" s="4"/>
      <c r="AE11" s="4" t="s">
        <v>67</v>
      </c>
      <c r="AF11" s="9">
        <v>46188</v>
      </c>
      <c r="AG11" s="4" t="s">
        <v>76</v>
      </c>
      <c r="AH11" s="4" t="s">
        <v>77</v>
      </c>
      <c r="AI11" s="4" t="s">
        <v>78</v>
      </c>
      <c r="AJ11" s="4"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 r="A12" s="4" t="s">
        <v>233</v>
      </c>
      <c r="B12" s="4" t="s">
        <v>234</v>
      </c>
      <c r="C12" s="4" t="s">
        <v>235</v>
      </c>
      <c r="D12" s="8" t="s">
        <v>236</v>
      </c>
      <c r="E12" s="4" t="s">
        <v>237</v>
      </c>
      <c r="F12" s="4" t="s">
        <v>238</v>
      </c>
      <c r="G12" s="4" t="s">
        <v>174</v>
      </c>
      <c r="H12" s="4" t="s">
        <v>151</v>
      </c>
      <c r="I12" s="4" t="s">
        <v>156</v>
      </c>
      <c r="J12" s="4" t="s">
        <v>239</v>
      </c>
      <c r="K12" s="4" t="s">
        <v>240</v>
      </c>
      <c r="L12" s="4" t="s">
        <v>87</v>
      </c>
      <c r="M12" s="4" t="s">
        <v>241</v>
      </c>
      <c r="N12" s="4" t="s">
        <v>242</v>
      </c>
      <c r="O12" s="4" t="s">
        <v>63</v>
      </c>
      <c r="P12" s="4" t="s">
        <v>64</v>
      </c>
      <c r="Q12" s="4" t="s">
        <v>90</v>
      </c>
      <c r="R12" s="4" t="s">
        <v>66</v>
      </c>
      <c r="S12" s="4" t="s">
        <v>66</v>
      </c>
      <c r="T12" s="4" t="s">
        <v>66</v>
      </c>
      <c r="U12" s="4" t="s">
        <v>243</v>
      </c>
      <c r="V12" s="4" t="s">
        <v>244</v>
      </c>
      <c r="W12" s="4" t="s">
        <v>77</v>
      </c>
      <c r="X12" s="4" t="s">
        <v>57</v>
      </c>
      <c r="Y12" s="4" t="s">
        <v>245</v>
      </c>
      <c r="Z12" s="4" t="s">
        <v>246</v>
      </c>
      <c r="AA12" s="4" t="s">
        <v>247</v>
      </c>
      <c r="AB12" s="4" t="s">
        <v>248</v>
      </c>
      <c r="AC12" s="4" t="s">
        <v>249</v>
      </c>
      <c r="AD12" s="4"/>
      <c r="AE12" s="4" t="s">
        <v>67</v>
      </c>
      <c r="AF12" s="9">
        <v>46188</v>
      </c>
      <c r="AG12" s="4" t="s">
        <v>76</v>
      </c>
      <c r="AH12" s="4" t="s">
        <v>77</v>
      </c>
      <c r="AI12" s="4" t="s">
        <v>78</v>
      </c>
      <c r="AJ12" s="4"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4" t="s">
        <v>250</v>
      </c>
      <c r="B13" s="4" t="s">
        <v>251</v>
      </c>
      <c r="C13" s="4" t="s">
        <v>252</v>
      </c>
      <c r="D13" s="8" t="s">
        <v>253</v>
      </c>
      <c r="E13" s="4" t="s">
        <v>254</v>
      </c>
      <c r="F13" s="4" t="s">
        <v>238</v>
      </c>
      <c r="G13" s="4" t="s">
        <v>238</v>
      </c>
      <c r="H13" s="4" t="s">
        <v>151</v>
      </c>
      <c r="I13" s="4" t="s">
        <v>156</v>
      </c>
      <c r="J13" s="4" t="s">
        <v>255</v>
      </c>
      <c r="K13" s="4" t="s">
        <v>256</v>
      </c>
      <c r="L13" s="4" t="s">
        <v>87</v>
      </c>
      <c r="M13" s="4" t="s">
        <v>257</v>
      </c>
      <c r="N13" s="4" t="s">
        <v>258</v>
      </c>
      <c r="O13" s="4" t="s">
        <v>63</v>
      </c>
      <c r="P13" s="4" t="s">
        <v>64</v>
      </c>
      <c r="Q13" s="4" t="s">
        <v>90</v>
      </c>
      <c r="R13" s="4" t="s">
        <v>66</v>
      </c>
      <c r="S13" s="4" t="s">
        <v>67</v>
      </c>
      <c r="T13" s="4" t="s">
        <v>66</v>
      </c>
      <c r="U13" s="4" t="s">
        <v>259</v>
      </c>
      <c r="V13" s="4" t="s">
        <v>244</v>
      </c>
      <c r="W13" s="4" t="s">
        <v>77</v>
      </c>
      <c r="X13" s="4" t="s">
        <v>57</v>
      </c>
      <c r="Y13" s="4" t="s">
        <v>260</v>
      </c>
      <c r="Z13" s="4" t="s">
        <v>261</v>
      </c>
      <c r="AA13" s="4" t="s">
        <v>262</v>
      </c>
      <c r="AB13" s="4" t="s">
        <v>263</v>
      </c>
      <c r="AC13" s="4" t="s">
        <v>249</v>
      </c>
      <c r="AD13" s="4"/>
      <c r="AE13" s="4" t="s">
        <v>67</v>
      </c>
      <c r="AF13" s="9">
        <v>46188</v>
      </c>
      <c r="AG13" s="4" t="s">
        <v>76</v>
      </c>
      <c r="AH13" s="4" t="s">
        <v>77</v>
      </c>
      <c r="AI13" s="4" t="s">
        <v>78</v>
      </c>
      <c r="AJ13" s="4"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5">
      <c r="A14" s="4" t="s">
        <v>264</v>
      </c>
      <c r="B14" s="4" t="s">
        <v>265</v>
      </c>
      <c r="C14" s="4" t="s">
        <v>266</v>
      </c>
      <c r="D14" s="4" t="s">
        <v>267</v>
      </c>
      <c r="E14" s="4" t="s">
        <v>268</v>
      </c>
      <c r="F14" s="4" t="s">
        <v>238</v>
      </c>
      <c r="G14" s="4" t="s">
        <v>238</v>
      </c>
      <c r="H14" s="4" t="s">
        <v>151</v>
      </c>
      <c r="I14" s="4" t="s">
        <v>156</v>
      </c>
      <c r="J14" s="4" t="s">
        <v>269</v>
      </c>
      <c r="K14" s="4" t="s">
        <v>270</v>
      </c>
      <c r="L14" s="4" t="s">
        <v>87</v>
      </c>
      <c r="M14" s="4" t="s">
        <v>271</v>
      </c>
      <c r="N14" s="4" t="s">
        <v>272</v>
      </c>
      <c r="O14" s="4" t="s">
        <v>63</v>
      </c>
      <c r="P14" s="4" t="s">
        <v>273</v>
      </c>
      <c r="Q14" s="4" t="s">
        <v>90</v>
      </c>
      <c r="R14" s="4" t="s">
        <v>66</v>
      </c>
      <c r="S14" s="4" t="s">
        <v>66</v>
      </c>
      <c r="T14" s="4" t="s">
        <v>67</v>
      </c>
      <c r="U14" s="4" t="s">
        <v>274</v>
      </c>
      <c r="V14" s="4" t="s">
        <v>275</v>
      </c>
      <c r="W14" s="4" t="s">
        <v>77</v>
      </c>
      <c r="X14" s="4" t="s">
        <v>57</v>
      </c>
      <c r="Y14" s="4" t="s">
        <v>276</v>
      </c>
      <c r="Z14" s="4" t="s">
        <v>277</v>
      </c>
      <c r="AA14" s="4" t="s">
        <v>278</v>
      </c>
      <c r="AB14" s="4" t="s">
        <v>279</v>
      </c>
      <c r="AC14" s="4" t="s">
        <v>280</v>
      </c>
      <c r="AD14" s="4"/>
      <c r="AE14" s="4" t="s">
        <v>66</v>
      </c>
      <c r="AF14" s="9">
        <v>46188</v>
      </c>
      <c r="AG14" s="4" t="s">
        <v>131</v>
      </c>
      <c r="AH14" s="4" t="s">
        <v>77</v>
      </c>
      <c r="AI14" s="4" t="s">
        <v>78</v>
      </c>
      <c r="AJ14" s="4"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9">
      <c r="A15" s="4" t="s">
        <v>281</v>
      </c>
      <c r="B15" s="4" t="s">
        <v>282</v>
      </c>
      <c r="C15" s="4" t="s">
        <v>283</v>
      </c>
      <c r="D15" s="8" t="s">
        <v>284</v>
      </c>
      <c r="E15" s="4" t="s">
        <v>285</v>
      </c>
      <c r="F15" s="4" t="s">
        <v>238</v>
      </c>
      <c r="G15" s="4" t="s">
        <v>238</v>
      </c>
      <c r="H15" s="4" t="s">
        <v>151</v>
      </c>
      <c r="I15" s="4" t="s">
        <v>286</v>
      </c>
      <c r="J15" s="4" t="s">
        <v>287</v>
      </c>
      <c r="K15" s="4" t="s">
        <v>288</v>
      </c>
      <c r="L15" s="4" t="s">
        <v>87</v>
      </c>
      <c r="M15" s="4" t="s">
        <v>289</v>
      </c>
      <c r="N15" s="4" t="s">
        <v>290</v>
      </c>
      <c r="O15" s="4" t="s">
        <v>63</v>
      </c>
      <c r="P15" s="4" t="s">
        <v>64</v>
      </c>
      <c r="Q15" s="4" t="s">
        <v>90</v>
      </c>
      <c r="R15" s="4" t="s">
        <v>66</v>
      </c>
      <c r="S15" s="4" t="s">
        <v>67</v>
      </c>
      <c r="T15" s="4" t="s">
        <v>66</v>
      </c>
      <c r="U15" s="4" t="s">
        <v>291</v>
      </c>
      <c r="V15" s="4" t="s">
        <v>244</v>
      </c>
      <c r="W15" s="4" t="s">
        <v>77</v>
      </c>
      <c r="X15" s="4" t="s">
        <v>57</v>
      </c>
      <c r="Y15" s="4" t="s">
        <v>292</v>
      </c>
      <c r="Z15" s="4" t="s">
        <v>293</v>
      </c>
      <c r="AA15" s="4" t="s">
        <v>294</v>
      </c>
      <c r="AB15" s="4" t="s">
        <v>295</v>
      </c>
      <c r="AC15" s="4" t="s">
        <v>296</v>
      </c>
      <c r="AD15" s="4"/>
      <c r="AE15" s="4" t="s">
        <v>67</v>
      </c>
      <c r="AF15" s="9">
        <v>46188</v>
      </c>
      <c r="AG15" s="4" t="s">
        <v>76</v>
      </c>
      <c r="AH15" s="4" t="s">
        <v>77</v>
      </c>
      <c r="AI15" s="4" t="s">
        <v>78</v>
      </c>
      <c r="AJ15" s="4"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4" t="s">
        <v>297</v>
      </c>
      <c r="B16" s="4" t="s">
        <v>298</v>
      </c>
      <c r="C16" s="4" t="s">
        <v>299</v>
      </c>
      <c r="D16" s="8" t="s">
        <v>300</v>
      </c>
      <c r="E16" s="4" t="s">
        <v>301</v>
      </c>
      <c r="F16" s="4" t="s">
        <v>238</v>
      </c>
      <c r="G16" s="4" t="s">
        <v>238</v>
      </c>
      <c r="H16" s="4" t="s">
        <v>151</v>
      </c>
      <c r="I16" s="4" t="s">
        <v>156</v>
      </c>
      <c r="J16" s="4" t="s">
        <v>302</v>
      </c>
      <c r="K16" s="4" t="s">
        <v>303</v>
      </c>
      <c r="L16" s="4" t="s">
        <v>304</v>
      </c>
      <c r="M16" s="4" t="s">
        <v>305</v>
      </c>
      <c r="N16" s="4" t="s">
        <v>306</v>
      </c>
      <c r="O16" s="4" t="s">
        <v>63</v>
      </c>
      <c r="P16" s="4" t="s">
        <v>307</v>
      </c>
      <c r="Q16" s="4" t="s">
        <v>308</v>
      </c>
      <c r="R16" s="4" t="s">
        <v>67</v>
      </c>
      <c r="S16" s="4" t="s">
        <v>66</v>
      </c>
      <c r="T16" s="4" t="s">
        <v>66</v>
      </c>
      <c r="U16" s="4" t="s">
        <v>309</v>
      </c>
      <c r="V16" s="4" t="s">
        <v>109</v>
      </c>
      <c r="W16" s="4" t="s">
        <v>77</v>
      </c>
      <c r="X16" s="4" t="s">
        <v>77</v>
      </c>
      <c r="Y16" s="4" t="s">
        <v>310</v>
      </c>
      <c r="Z16" s="4" t="s">
        <v>311</v>
      </c>
      <c r="AA16" s="4" t="s">
        <v>312</v>
      </c>
      <c r="AB16" s="4" t="s">
        <v>313</v>
      </c>
      <c r="AC16" s="4" t="s">
        <v>296</v>
      </c>
      <c r="AD16" s="4"/>
      <c r="AE16" s="4" t="s">
        <v>75</v>
      </c>
      <c r="AF16" s="9">
        <v>46188</v>
      </c>
      <c r="AG16" s="4" t="s">
        <v>76</v>
      </c>
      <c r="AH16" s="4" t="s">
        <v>77</v>
      </c>
      <c r="AI16" s="4" t="s">
        <v>78</v>
      </c>
      <c r="AJ16" s="4"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4" t="s">
        <v>314</v>
      </c>
      <c r="B17" s="4" t="s">
        <v>315</v>
      </c>
      <c r="C17" s="4" t="s">
        <v>316</v>
      </c>
      <c r="D17" s="4" t="s">
        <v>317</v>
      </c>
      <c r="E17" s="4" t="s">
        <v>318</v>
      </c>
      <c r="F17" s="4" t="s">
        <v>238</v>
      </c>
      <c r="G17" s="4" t="s">
        <v>238</v>
      </c>
      <c r="H17" s="4" t="s">
        <v>151</v>
      </c>
      <c r="I17" s="4" t="s">
        <v>64</v>
      </c>
      <c r="J17" s="4" t="s">
        <v>319</v>
      </c>
      <c r="K17" s="4" t="s">
        <v>320</v>
      </c>
      <c r="L17" s="4" t="s">
        <v>106</v>
      </c>
      <c r="M17" s="4" t="s">
        <v>321</v>
      </c>
      <c r="N17" s="4" t="s">
        <v>322</v>
      </c>
      <c r="O17" s="4" t="s">
        <v>63</v>
      </c>
      <c r="P17" s="4" t="s">
        <v>64</v>
      </c>
      <c r="Q17" s="4" t="s">
        <v>64</v>
      </c>
      <c r="R17" s="4" t="s">
        <v>143</v>
      </c>
      <c r="S17" s="4" t="s">
        <v>66</v>
      </c>
      <c r="T17" s="4" t="s">
        <v>143</v>
      </c>
      <c r="U17" s="4" t="s">
        <v>323</v>
      </c>
      <c r="V17" s="4" t="s">
        <v>324</v>
      </c>
      <c r="W17" s="4" t="s">
        <v>77</v>
      </c>
      <c r="X17" s="4" t="s">
        <v>77</v>
      </c>
      <c r="Y17" s="4" t="s">
        <v>325</v>
      </c>
      <c r="Z17" s="4" t="s">
        <v>326</v>
      </c>
      <c r="AA17" s="4" t="s">
        <v>327</v>
      </c>
      <c r="AB17" s="4" t="s">
        <v>328</v>
      </c>
      <c r="AC17" s="4" t="s">
        <v>329</v>
      </c>
      <c r="AD17" s="4"/>
      <c r="AE17" s="4" t="s">
        <v>75</v>
      </c>
      <c r="AF17" s="9">
        <v>46188</v>
      </c>
      <c r="AG17" s="4" t="s">
        <v>131</v>
      </c>
      <c r="AH17" s="4" t="s">
        <v>77</v>
      </c>
      <c r="AI17" s="4" t="s">
        <v>78</v>
      </c>
      <c r="AJ17" s="4"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4" t="s">
        <v>330</v>
      </c>
      <c r="B18" s="4" t="s">
        <v>331</v>
      </c>
      <c r="C18" s="4" t="s">
        <v>332</v>
      </c>
      <c r="D18" s="4" t="s">
        <v>333</v>
      </c>
      <c r="E18" s="4" t="s">
        <v>334</v>
      </c>
      <c r="F18" s="4" t="s">
        <v>238</v>
      </c>
      <c r="G18" s="4" t="s">
        <v>238</v>
      </c>
      <c r="H18" s="4" t="s">
        <v>151</v>
      </c>
      <c r="I18" s="4" t="s">
        <v>156</v>
      </c>
      <c r="J18" s="4" t="s">
        <v>335</v>
      </c>
      <c r="K18" s="4" t="s">
        <v>336</v>
      </c>
      <c r="L18" s="4" t="s">
        <v>337</v>
      </c>
      <c r="M18" s="4" t="s">
        <v>338</v>
      </c>
      <c r="N18" s="4" t="s">
        <v>339</v>
      </c>
      <c r="O18" s="4" t="s">
        <v>63</v>
      </c>
      <c r="P18" s="4" t="s">
        <v>340</v>
      </c>
      <c r="Q18" s="4" t="s">
        <v>341</v>
      </c>
      <c r="R18" s="4" t="s">
        <v>67</v>
      </c>
      <c r="S18" s="4" t="s">
        <v>66</v>
      </c>
      <c r="T18" s="4" t="s">
        <v>67</v>
      </c>
      <c r="U18" s="4" t="s">
        <v>342</v>
      </c>
      <c r="V18" s="4" t="s">
        <v>244</v>
      </c>
      <c r="W18" s="4" t="s">
        <v>57</v>
      </c>
      <c r="X18" s="4" t="s">
        <v>57</v>
      </c>
      <c r="Y18" s="4" t="s">
        <v>343</v>
      </c>
      <c r="Z18" s="4" t="s">
        <v>344</v>
      </c>
      <c r="AA18" s="4" t="s">
        <v>345</v>
      </c>
      <c r="AB18" s="4" t="s">
        <v>346</v>
      </c>
      <c r="AC18" s="4" t="s">
        <v>347</v>
      </c>
      <c r="AD18" s="4"/>
      <c r="AE18" s="4" t="s">
        <v>66</v>
      </c>
      <c r="AF18" s="9">
        <v>46188</v>
      </c>
      <c r="AG18" s="4" t="s">
        <v>131</v>
      </c>
      <c r="AH18" s="4" t="s">
        <v>57</v>
      </c>
      <c r="AI18" s="4" t="s">
        <v>78</v>
      </c>
      <c r="AJ18" s="4"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5">
      <c r="A19" s="4" t="s">
        <v>348</v>
      </c>
      <c r="B19" s="4" t="s">
        <v>349</v>
      </c>
      <c r="C19" s="4" t="s">
        <v>350</v>
      </c>
      <c r="D19" s="8" t="s">
        <v>351</v>
      </c>
      <c r="E19" s="4" t="s">
        <v>352</v>
      </c>
      <c r="F19" s="4" t="s">
        <v>238</v>
      </c>
      <c r="G19" s="4" t="s">
        <v>238</v>
      </c>
      <c r="H19" s="4" t="s">
        <v>151</v>
      </c>
      <c r="I19" s="4" t="s">
        <v>353</v>
      </c>
      <c r="J19" s="4" t="s">
        <v>354</v>
      </c>
      <c r="K19" s="4" t="s">
        <v>355</v>
      </c>
      <c r="L19" s="4" t="s">
        <v>337</v>
      </c>
      <c r="M19" s="4" t="s">
        <v>356</v>
      </c>
      <c r="N19" s="4" t="s">
        <v>357</v>
      </c>
      <c r="O19" s="4" t="s">
        <v>63</v>
      </c>
      <c r="P19" s="4" t="s">
        <v>340</v>
      </c>
      <c r="Q19" s="4" t="s">
        <v>341</v>
      </c>
      <c r="R19" s="4" t="s">
        <v>67</v>
      </c>
      <c r="S19" s="4" t="s">
        <v>66</v>
      </c>
      <c r="T19" s="4" t="s">
        <v>66</v>
      </c>
      <c r="U19" s="4" t="s">
        <v>358</v>
      </c>
      <c r="V19" s="4" t="s">
        <v>244</v>
      </c>
      <c r="W19" s="4" t="s">
        <v>77</v>
      </c>
      <c r="X19" s="4" t="s">
        <v>57</v>
      </c>
      <c r="Y19" s="4" t="s">
        <v>359</v>
      </c>
      <c r="Z19" s="4" t="s">
        <v>360</v>
      </c>
      <c r="AA19" s="4" t="s">
        <v>361</v>
      </c>
      <c r="AB19" s="4" t="s">
        <v>362</v>
      </c>
      <c r="AC19" s="4" t="s">
        <v>363</v>
      </c>
      <c r="AD19" s="4"/>
      <c r="AE19" s="4" t="s">
        <v>66</v>
      </c>
      <c r="AF19" s="9">
        <v>46189</v>
      </c>
      <c r="AG19" s="4" t="s">
        <v>76</v>
      </c>
      <c r="AH19" s="4" t="s">
        <v>57</v>
      </c>
      <c r="AI19" s="4" t="s">
        <v>78</v>
      </c>
      <c r="AJ19" s="4"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5">
      <c r="A20" s="4" t="s">
        <v>364</v>
      </c>
      <c r="B20" s="4" t="s">
        <v>365</v>
      </c>
      <c r="C20" s="4" t="s">
        <v>366</v>
      </c>
      <c r="D20" s="8" t="s">
        <v>367</v>
      </c>
      <c r="E20" s="4" t="s">
        <v>368</v>
      </c>
      <c r="F20" s="4" t="s">
        <v>238</v>
      </c>
      <c r="G20" s="4" t="s">
        <v>238</v>
      </c>
      <c r="H20" s="4" t="s">
        <v>151</v>
      </c>
      <c r="I20" s="4" t="s">
        <v>353</v>
      </c>
      <c r="J20" s="4" t="s">
        <v>369</v>
      </c>
      <c r="K20" s="4" t="s">
        <v>370</v>
      </c>
      <c r="L20" s="4" t="s">
        <v>87</v>
      </c>
      <c r="M20" s="4" t="s">
        <v>371</v>
      </c>
      <c r="N20" s="4" t="s">
        <v>372</v>
      </c>
      <c r="O20" s="4" t="s">
        <v>63</v>
      </c>
      <c r="P20" s="4" t="s">
        <v>340</v>
      </c>
      <c r="Q20" s="4" t="s">
        <v>90</v>
      </c>
      <c r="R20" s="4" t="s">
        <v>66</v>
      </c>
      <c r="S20" s="4" t="s">
        <v>66</v>
      </c>
      <c r="T20" s="4" t="s">
        <v>66</v>
      </c>
      <c r="U20" s="4" t="s">
        <v>373</v>
      </c>
      <c r="V20" s="4" t="s">
        <v>374</v>
      </c>
      <c r="W20" s="4" t="s">
        <v>77</v>
      </c>
      <c r="X20" s="4" t="s">
        <v>57</v>
      </c>
      <c r="Y20" s="4" t="s">
        <v>375</v>
      </c>
      <c r="Z20" s="4" t="s">
        <v>376</v>
      </c>
      <c r="AA20" s="4" t="s">
        <v>377</v>
      </c>
      <c r="AB20" s="4" t="s">
        <v>378</v>
      </c>
      <c r="AC20" s="4" t="s">
        <v>379</v>
      </c>
      <c r="AD20" s="4"/>
      <c r="AE20" s="4" t="s">
        <v>66</v>
      </c>
      <c r="AF20" s="9">
        <v>46189</v>
      </c>
      <c r="AG20" s="4" t="s">
        <v>76</v>
      </c>
      <c r="AH20" s="4" t="s">
        <v>57</v>
      </c>
      <c r="AI20" s="4" t="s">
        <v>78</v>
      </c>
      <c r="AJ20" s="4"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5">
      <c r="A21" s="4" t="s">
        <v>380</v>
      </c>
      <c r="B21" s="4" t="s">
        <v>381</v>
      </c>
      <c r="C21" s="4" t="s">
        <v>382</v>
      </c>
      <c r="D21" s="8" t="s">
        <v>383</v>
      </c>
      <c r="E21" s="4" t="s">
        <v>384</v>
      </c>
      <c r="F21" s="4" t="s">
        <v>238</v>
      </c>
      <c r="G21" s="4" t="s">
        <v>238</v>
      </c>
      <c r="H21" s="4" t="s">
        <v>151</v>
      </c>
      <c r="I21" s="4" t="s">
        <v>353</v>
      </c>
      <c r="J21" s="4" t="s">
        <v>385</v>
      </c>
      <c r="K21" s="4" t="s">
        <v>386</v>
      </c>
      <c r="L21" s="4" t="s">
        <v>337</v>
      </c>
      <c r="M21" s="4" t="s">
        <v>387</v>
      </c>
      <c r="N21" s="4" t="s">
        <v>388</v>
      </c>
      <c r="O21" s="4" t="s">
        <v>389</v>
      </c>
      <c r="P21" s="4" t="s">
        <v>307</v>
      </c>
      <c r="Q21" s="4" t="s">
        <v>390</v>
      </c>
      <c r="R21" s="4" t="s">
        <v>67</v>
      </c>
      <c r="S21" s="4" t="s">
        <v>66</v>
      </c>
      <c r="T21" s="4" t="s">
        <v>66</v>
      </c>
      <c r="U21" s="4" t="s">
        <v>391</v>
      </c>
      <c r="V21" s="4" t="s">
        <v>244</v>
      </c>
      <c r="W21" s="4" t="s">
        <v>77</v>
      </c>
      <c r="X21" s="4" t="s">
        <v>57</v>
      </c>
      <c r="Y21" s="4" t="s">
        <v>392</v>
      </c>
      <c r="Z21" s="4" t="s">
        <v>393</v>
      </c>
      <c r="AA21" s="4" t="s">
        <v>394</v>
      </c>
      <c r="AB21" s="4" t="s">
        <v>395</v>
      </c>
      <c r="AC21" s="4" t="s">
        <v>396</v>
      </c>
      <c r="AD21" s="4"/>
      <c r="AE21" s="4" t="s">
        <v>66</v>
      </c>
      <c r="AF21" s="9">
        <v>46189</v>
      </c>
      <c r="AG21" s="4" t="s">
        <v>76</v>
      </c>
      <c r="AH21" s="4" t="s">
        <v>57</v>
      </c>
      <c r="AI21" s="4" t="s">
        <v>78</v>
      </c>
      <c r="AJ21" s="4"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5">
      <c r="A22" s="4" t="s">
        <v>397</v>
      </c>
      <c r="B22" s="4" t="s">
        <v>398</v>
      </c>
      <c r="C22" s="4" t="s">
        <v>399</v>
      </c>
      <c r="D22" s="8" t="s">
        <v>400</v>
      </c>
      <c r="E22" s="4" t="s">
        <v>401</v>
      </c>
      <c r="F22" s="4" t="s">
        <v>238</v>
      </c>
      <c r="G22" s="4" t="s">
        <v>238</v>
      </c>
      <c r="H22" s="4" t="s">
        <v>151</v>
      </c>
      <c r="I22" s="4" t="s">
        <v>353</v>
      </c>
      <c r="J22" s="4" t="s">
        <v>385</v>
      </c>
      <c r="K22" s="4" t="s">
        <v>402</v>
      </c>
      <c r="L22" s="4" t="s">
        <v>337</v>
      </c>
      <c r="M22" s="4" t="s">
        <v>403</v>
      </c>
      <c r="N22" s="4" t="s">
        <v>404</v>
      </c>
      <c r="O22" s="4" t="s">
        <v>63</v>
      </c>
      <c r="P22" s="4" t="s">
        <v>307</v>
      </c>
      <c r="Q22" s="4" t="s">
        <v>64</v>
      </c>
      <c r="R22" s="4" t="s">
        <v>67</v>
      </c>
      <c r="S22" s="4" t="s">
        <v>66</v>
      </c>
      <c r="T22" s="4" t="s">
        <v>66</v>
      </c>
      <c r="U22" s="4" t="s">
        <v>405</v>
      </c>
      <c r="V22" s="4" t="s">
        <v>244</v>
      </c>
      <c r="W22" s="4" t="s">
        <v>77</v>
      </c>
      <c r="X22" s="4" t="s">
        <v>57</v>
      </c>
      <c r="Y22" s="4" t="s">
        <v>406</v>
      </c>
      <c r="Z22" s="4" t="s">
        <v>407</v>
      </c>
      <c r="AA22" s="4" t="s">
        <v>408</v>
      </c>
      <c r="AB22" s="4" t="s">
        <v>409</v>
      </c>
      <c r="AC22" s="4" t="s">
        <v>410</v>
      </c>
      <c r="AD22" s="4"/>
      <c r="AE22" s="4" t="s">
        <v>66</v>
      </c>
      <c r="AF22" s="9">
        <v>46189</v>
      </c>
      <c r="AG22" s="4" t="s">
        <v>76</v>
      </c>
      <c r="AH22" s="4" t="s">
        <v>57</v>
      </c>
      <c r="AI22" s="4" t="s">
        <v>78</v>
      </c>
      <c r="AJ22" s="4"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4" t="s">
        <v>411</v>
      </c>
      <c r="B23" s="4" t="s">
        <v>412</v>
      </c>
      <c r="C23" s="4" t="s">
        <v>413</v>
      </c>
      <c r="D23" s="8" t="s">
        <v>414</v>
      </c>
      <c r="E23" s="4" t="s">
        <v>415</v>
      </c>
      <c r="F23" s="4" t="s">
        <v>238</v>
      </c>
      <c r="G23" s="4" t="s">
        <v>238</v>
      </c>
      <c r="H23" s="4" t="s">
        <v>151</v>
      </c>
      <c r="I23" s="4" t="s">
        <v>416</v>
      </c>
      <c r="J23" s="4" t="s">
        <v>417</v>
      </c>
      <c r="K23" s="4" t="s">
        <v>418</v>
      </c>
      <c r="L23" s="4" t="s">
        <v>337</v>
      </c>
      <c r="M23" s="4" t="s">
        <v>419</v>
      </c>
      <c r="N23" s="4" t="s">
        <v>420</v>
      </c>
      <c r="O23" s="4" t="s">
        <v>63</v>
      </c>
      <c r="P23" s="4" t="s">
        <v>307</v>
      </c>
      <c r="Q23" s="4" t="s">
        <v>390</v>
      </c>
      <c r="R23" s="4" t="s">
        <v>67</v>
      </c>
      <c r="S23" s="4" t="s">
        <v>66</v>
      </c>
      <c r="T23" s="4" t="s">
        <v>66</v>
      </c>
      <c r="U23" s="4" t="s">
        <v>421</v>
      </c>
      <c r="V23" s="4" t="s">
        <v>69</v>
      </c>
      <c r="W23" s="4" t="s">
        <v>57</v>
      </c>
      <c r="X23" s="4" t="s">
        <v>57</v>
      </c>
      <c r="Y23" s="4" t="s">
        <v>422</v>
      </c>
      <c r="Z23" s="4" t="s">
        <v>423</v>
      </c>
      <c r="AA23" s="4" t="s">
        <v>424</v>
      </c>
      <c r="AB23" s="4" t="s">
        <v>425</v>
      </c>
      <c r="AC23" s="4" t="s">
        <v>426</v>
      </c>
      <c r="AD23" s="4"/>
      <c r="AE23" s="4" t="s">
        <v>66</v>
      </c>
      <c r="AF23" s="9">
        <v>46189</v>
      </c>
      <c r="AG23" s="4" t="s">
        <v>76</v>
      </c>
      <c r="AH23" s="4" t="s">
        <v>57</v>
      </c>
      <c r="AI23" s="4" t="s">
        <v>78</v>
      </c>
      <c r="AJ23" s="4"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4" t="s">
        <v>427</v>
      </c>
      <c r="B24" s="4" t="s">
        <v>428</v>
      </c>
      <c r="C24" s="4" t="s">
        <v>429</v>
      </c>
      <c r="D24" s="8" t="s">
        <v>430</v>
      </c>
      <c r="E24" s="4" t="s">
        <v>431</v>
      </c>
      <c r="F24" s="4" t="s">
        <v>238</v>
      </c>
      <c r="G24" s="4" t="s">
        <v>238</v>
      </c>
      <c r="H24" s="4" t="s">
        <v>77</v>
      </c>
      <c r="I24" s="4" t="s">
        <v>416</v>
      </c>
      <c r="J24" s="4" t="s">
        <v>432</v>
      </c>
      <c r="K24" s="4" t="s">
        <v>433</v>
      </c>
      <c r="L24" s="4" t="s">
        <v>87</v>
      </c>
      <c r="M24" s="4" t="s">
        <v>434</v>
      </c>
      <c r="N24" s="4" t="s">
        <v>435</v>
      </c>
      <c r="O24" s="4" t="s">
        <v>63</v>
      </c>
      <c r="P24" s="4" t="s">
        <v>64</v>
      </c>
      <c r="Q24" s="4" t="s">
        <v>90</v>
      </c>
      <c r="R24" s="4" t="s">
        <v>66</v>
      </c>
      <c r="S24" s="4" t="s">
        <v>143</v>
      </c>
      <c r="T24" s="4" t="s">
        <v>66</v>
      </c>
      <c r="U24" s="4" t="s">
        <v>436</v>
      </c>
      <c r="V24" s="4" t="s">
        <v>437</v>
      </c>
      <c r="W24" s="4" t="s">
        <v>77</v>
      </c>
      <c r="X24" s="4" t="s">
        <v>77</v>
      </c>
      <c r="Y24" s="4" t="s">
        <v>438</v>
      </c>
      <c r="Z24" s="4" t="s">
        <v>439</v>
      </c>
      <c r="AA24" s="4" t="s">
        <v>440</v>
      </c>
      <c r="AB24" s="4" t="s">
        <v>441</v>
      </c>
      <c r="AC24" s="4" t="s">
        <v>442</v>
      </c>
      <c r="AD24" s="4"/>
      <c r="AE24" s="4" t="s">
        <v>66</v>
      </c>
      <c r="AF24" s="9">
        <v>46189</v>
      </c>
      <c r="AG24" s="4" t="s">
        <v>131</v>
      </c>
      <c r="AH24" s="4" t="s">
        <v>57</v>
      </c>
      <c r="AI24" s="4" t="s">
        <v>78</v>
      </c>
      <c r="AJ24" s="4"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5">
      <c r="A25" s="4" t="s">
        <v>443</v>
      </c>
      <c r="B25" s="4" t="s">
        <v>444</v>
      </c>
      <c r="C25" s="4" t="s">
        <v>445</v>
      </c>
      <c r="D25" s="8" t="s">
        <v>446</v>
      </c>
      <c r="E25" s="4" t="s">
        <v>447</v>
      </c>
      <c r="F25" s="4" t="s">
        <v>448</v>
      </c>
      <c r="G25" s="4" t="s">
        <v>449</v>
      </c>
      <c r="H25" s="4" t="s">
        <v>77</v>
      </c>
      <c r="I25" s="4" t="s">
        <v>450</v>
      </c>
      <c r="J25" s="4" t="s">
        <v>451</v>
      </c>
      <c r="K25" s="4" t="s">
        <v>452</v>
      </c>
      <c r="L25" s="4" t="s">
        <v>453</v>
      </c>
      <c r="M25" s="4" t="s">
        <v>454</v>
      </c>
      <c r="N25" s="12" t="s">
        <v>455</v>
      </c>
      <c r="O25" s="4" t="s">
        <v>63</v>
      </c>
      <c r="P25" s="4" t="s">
        <v>273</v>
      </c>
      <c r="Q25" s="4" t="s">
        <v>65</v>
      </c>
      <c r="R25" s="4" t="s">
        <v>66</v>
      </c>
      <c r="S25" s="4" t="s">
        <v>66</v>
      </c>
      <c r="T25" s="4" t="s">
        <v>66</v>
      </c>
      <c r="U25" s="4" t="s">
        <v>456</v>
      </c>
      <c r="V25" s="4" t="s">
        <v>437</v>
      </c>
      <c r="W25" s="4" t="s">
        <v>77</v>
      </c>
      <c r="X25" s="4" t="s">
        <v>77</v>
      </c>
      <c r="Y25" s="4" t="s">
        <v>457</v>
      </c>
      <c r="Z25" s="4" t="s">
        <v>458</v>
      </c>
      <c r="AA25" s="4" t="s">
        <v>459</v>
      </c>
      <c r="AB25" s="4" t="s">
        <v>460</v>
      </c>
      <c r="AC25" s="4" t="s">
        <v>461</v>
      </c>
      <c r="AD25" s="4"/>
      <c r="AE25" s="4" t="s">
        <v>66</v>
      </c>
      <c r="AF25" s="9">
        <v>46189</v>
      </c>
      <c r="AG25" s="4" t="s">
        <v>131</v>
      </c>
      <c r="AH25" s="4" t="s">
        <v>77</v>
      </c>
      <c r="AI25" s="4" t="s">
        <v>462</v>
      </c>
      <c r="AJ25" s="4"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4" t="s">
        <v>463</v>
      </c>
      <c r="B26" s="4" t="s">
        <v>464</v>
      </c>
      <c r="C26" s="4" t="s">
        <v>465</v>
      </c>
      <c r="D26" s="8" t="s">
        <v>466</v>
      </c>
      <c r="E26" s="4" t="s">
        <v>467</v>
      </c>
      <c r="F26" s="4" t="s">
        <v>468</v>
      </c>
      <c r="G26" s="4" t="s">
        <v>469</v>
      </c>
      <c r="H26" s="4" t="s">
        <v>151</v>
      </c>
      <c r="I26" s="4" t="s">
        <v>450</v>
      </c>
      <c r="J26" s="4" t="s">
        <v>470</v>
      </c>
      <c r="K26" s="4" t="s">
        <v>471</v>
      </c>
      <c r="L26" s="4" t="s">
        <v>453</v>
      </c>
      <c r="M26" s="4" t="s">
        <v>472</v>
      </c>
      <c r="N26" s="4" t="s">
        <v>473</v>
      </c>
      <c r="O26" s="4" t="s">
        <v>63</v>
      </c>
      <c r="P26" s="4" t="s">
        <v>64</v>
      </c>
      <c r="Q26" s="4" t="s">
        <v>64</v>
      </c>
      <c r="R26" s="4" t="s">
        <v>143</v>
      </c>
      <c r="S26" s="4" t="s">
        <v>66</v>
      </c>
      <c r="T26" s="4" t="s">
        <v>143</v>
      </c>
      <c r="U26" s="4" t="s">
        <v>323</v>
      </c>
      <c r="V26" s="4" t="s">
        <v>323</v>
      </c>
      <c r="W26" s="4" t="s">
        <v>77</v>
      </c>
      <c r="X26" s="4" t="s">
        <v>77</v>
      </c>
      <c r="Y26" s="4" t="s">
        <v>474</v>
      </c>
      <c r="Z26" s="4" t="s">
        <v>475</v>
      </c>
      <c r="AA26" s="4" t="s">
        <v>476</v>
      </c>
      <c r="AB26" s="4" t="s">
        <v>477</v>
      </c>
      <c r="AC26" s="4" t="s">
        <v>478</v>
      </c>
      <c r="AD26" s="4"/>
      <c r="AE26" s="4" t="s">
        <v>66</v>
      </c>
      <c r="AF26" s="9">
        <v>46189</v>
      </c>
      <c r="AG26" s="4" t="s">
        <v>131</v>
      </c>
      <c r="AH26" s="4" t="s">
        <v>77</v>
      </c>
      <c r="AI26" s="4" t="s">
        <v>78</v>
      </c>
      <c r="AJ26" s="4"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5">
      <c r="A27" s="4" t="s">
        <v>479</v>
      </c>
      <c r="B27" s="4" t="s">
        <v>480</v>
      </c>
      <c r="C27" s="4" t="s">
        <v>481</v>
      </c>
      <c r="D27" s="8" t="s">
        <v>482</v>
      </c>
      <c r="E27" s="4" t="s">
        <v>483</v>
      </c>
      <c r="F27" s="4" t="s">
        <v>56</v>
      </c>
      <c r="G27" s="4" t="s">
        <v>449</v>
      </c>
      <c r="H27" s="4" t="s">
        <v>151</v>
      </c>
      <c r="I27" s="4" t="s">
        <v>450</v>
      </c>
      <c r="J27" s="4" t="s">
        <v>484</v>
      </c>
      <c r="K27" s="4" t="s">
        <v>485</v>
      </c>
      <c r="L27" s="4" t="s">
        <v>453</v>
      </c>
      <c r="M27" s="4" t="s">
        <v>486</v>
      </c>
      <c r="N27" s="4" t="s">
        <v>487</v>
      </c>
      <c r="O27" s="4" t="s">
        <v>63</v>
      </c>
      <c r="P27" s="4" t="s">
        <v>488</v>
      </c>
      <c r="Q27" s="4" t="s">
        <v>65</v>
      </c>
      <c r="R27" s="4" t="s">
        <v>66</v>
      </c>
      <c r="S27" s="4" t="s">
        <v>66</v>
      </c>
      <c r="T27" s="4" t="s">
        <v>66</v>
      </c>
      <c r="U27" s="4" t="s">
        <v>489</v>
      </c>
      <c r="V27" s="4" t="s">
        <v>490</v>
      </c>
      <c r="W27" s="4" t="s">
        <v>57</v>
      </c>
      <c r="X27" s="4" t="s">
        <v>77</v>
      </c>
      <c r="Y27" s="4" t="s">
        <v>491</v>
      </c>
      <c r="Z27" s="4" t="s">
        <v>492</v>
      </c>
      <c r="AA27" s="4" t="s">
        <v>493</v>
      </c>
      <c r="AB27" s="4" t="s">
        <v>494</v>
      </c>
      <c r="AC27" s="4" t="s">
        <v>495</v>
      </c>
      <c r="AD27" s="4"/>
      <c r="AE27" s="4" t="s">
        <v>75</v>
      </c>
      <c r="AF27" s="9">
        <v>46189</v>
      </c>
      <c r="AG27" s="4" t="s">
        <v>131</v>
      </c>
      <c r="AH27" s="4" t="s">
        <v>77</v>
      </c>
      <c r="AI27" s="4" t="s">
        <v>78</v>
      </c>
      <c r="AJ27" s="4"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4" t="s">
        <v>496</v>
      </c>
      <c r="B28" s="4" t="s">
        <v>497</v>
      </c>
      <c r="C28" s="4" t="s">
        <v>498</v>
      </c>
      <c r="D28" s="4" t="s">
        <v>499</v>
      </c>
      <c r="E28" s="4" t="s">
        <v>500</v>
      </c>
      <c r="F28" s="4" t="s">
        <v>238</v>
      </c>
      <c r="G28" s="4" t="s">
        <v>238</v>
      </c>
      <c r="H28" s="4" t="s">
        <v>151</v>
      </c>
      <c r="I28" s="4" t="s">
        <v>416</v>
      </c>
      <c r="J28" s="4" t="s">
        <v>501</v>
      </c>
      <c r="K28" s="4" t="s">
        <v>502</v>
      </c>
      <c r="L28" s="4" t="s">
        <v>64</v>
      </c>
      <c r="M28" s="4" t="s">
        <v>503</v>
      </c>
      <c r="N28" s="4" t="s">
        <v>504</v>
      </c>
      <c r="O28" s="4" t="s">
        <v>63</v>
      </c>
      <c r="P28" s="4" t="s">
        <v>505</v>
      </c>
      <c r="Q28" s="4" t="s">
        <v>64</v>
      </c>
      <c r="R28" s="4" t="s">
        <v>67</v>
      </c>
      <c r="S28" s="4" t="s">
        <v>66</v>
      </c>
      <c r="T28" s="4" t="s">
        <v>67</v>
      </c>
      <c r="U28" s="4" t="s">
        <v>506</v>
      </c>
      <c r="V28" s="4" t="s">
        <v>490</v>
      </c>
      <c r="W28" s="4" t="s">
        <v>77</v>
      </c>
      <c r="X28" s="4" t="s">
        <v>57</v>
      </c>
      <c r="Y28" s="4" t="s">
        <v>507</v>
      </c>
      <c r="Z28" s="4" t="s">
        <v>508</v>
      </c>
      <c r="AA28" s="4" t="s">
        <v>509</v>
      </c>
      <c r="AB28" s="4" t="s">
        <v>510</v>
      </c>
      <c r="AC28" s="4" t="s">
        <v>511</v>
      </c>
      <c r="AD28" s="4"/>
      <c r="AE28" s="4" t="s">
        <v>66</v>
      </c>
      <c r="AF28" s="9">
        <v>46189</v>
      </c>
      <c r="AG28" s="4" t="s">
        <v>131</v>
      </c>
      <c r="AH28" s="4" t="s">
        <v>77</v>
      </c>
      <c r="AI28" s="4" t="s">
        <v>78</v>
      </c>
      <c r="AJ28" s="4"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5">
      <c r="A29" s="4" t="s">
        <v>512</v>
      </c>
      <c r="B29" s="4" t="s">
        <v>513</v>
      </c>
      <c r="C29" s="4" t="s">
        <v>514</v>
      </c>
      <c r="D29" s="8" t="s">
        <v>515</v>
      </c>
      <c r="E29" s="4" t="s">
        <v>516</v>
      </c>
      <c r="F29" s="4" t="s">
        <v>238</v>
      </c>
      <c r="G29" s="4" t="s">
        <v>238</v>
      </c>
      <c r="H29" s="4" t="s">
        <v>151</v>
      </c>
      <c r="I29" s="4" t="s">
        <v>64</v>
      </c>
      <c r="J29" s="4" t="s">
        <v>517</v>
      </c>
      <c r="K29" s="4" t="s">
        <v>518</v>
      </c>
      <c r="L29" s="4" t="s">
        <v>304</v>
      </c>
      <c r="M29" s="4" t="s">
        <v>519</v>
      </c>
      <c r="N29" s="4" t="s">
        <v>520</v>
      </c>
      <c r="O29" s="4" t="s">
        <v>63</v>
      </c>
      <c r="P29" s="4" t="s">
        <v>64</v>
      </c>
      <c r="Q29" s="4" t="s">
        <v>64</v>
      </c>
      <c r="R29" s="4" t="s">
        <v>143</v>
      </c>
      <c r="S29" s="4" t="s">
        <v>66</v>
      </c>
      <c r="T29" s="4" t="s">
        <v>143</v>
      </c>
      <c r="U29" s="4" t="s">
        <v>521</v>
      </c>
      <c r="V29" s="4" t="s">
        <v>109</v>
      </c>
      <c r="W29" s="4" t="s">
        <v>77</v>
      </c>
      <c r="X29" s="4" t="s">
        <v>77</v>
      </c>
      <c r="Y29" s="4" t="s">
        <v>522</v>
      </c>
      <c r="Z29" s="4" t="s">
        <v>523</v>
      </c>
      <c r="AA29" s="4" t="s">
        <v>524</v>
      </c>
      <c r="AB29" s="4" t="s">
        <v>525</v>
      </c>
      <c r="AC29" s="4" t="s">
        <v>526</v>
      </c>
      <c r="AD29" s="4"/>
      <c r="AE29" s="4" t="s">
        <v>75</v>
      </c>
      <c r="AF29" s="9">
        <v>46190</v>
      </c>
      <c r="AG29" s="4" t="s">
        <v>76</v>
      </c>
      <c r="AH29" s="4" t="s">
        <v>77</v>
      </c>
      <c r="AI29" s="4" t="s">
        <v>78</v>
      </c>
      <c r="AJ29" s="4"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5">
      <c r="A30" s="4" t="s">
        <v>527</v>
      </c>
      <c r="B30" s="4" t="s">
        <v>528</v>
      </c>
      <c r="C30" s="4" t="s">
        <v>529</v>
      </c>
      <c r="D30" s="8" t="s">
        <v>530</v>
      </c>
      <c r="E30" s="4" t="s">
        <v>531</v>
      </c>
      <c r="F30" s="4" t="s">
        <v>174</v>
      </c>
      <c r="G30" s="4" t="s">
        <v>174</v>
      </c>
      <c r="H30" s="4" t="s">
        <v>77</v>
      </c>
      <c r="I30" s="4" t="s">
        <v>532</v>
      </c>
      <c r="J30" s="4" t="s">
        <v>533</v>
      </c>
      <c r="K30" s="4" t="s">
        <v>534</v>
      </c>
      <c r="L30" s="4" t="s">
        <v>87</v>
      </c>
      <c r="M30" s="4" t="s">
        <v>535</v>
      </c>
      <c r="N30" s="4" t="s">
        <v>536</v>
      </c>
      <c r="O30" s="4" t="s">
        <v>63</v>
      </c>
      <c r="P30" s="4" t="s">
        <v>537</v>
      </c>
      <c r="Q30" s="4" t="s">
        <v>90</v>
      </c>
      <c r="R30" s="4" t="s">
        <v>66</v>
      </c>
      <c r="S30" s="4" t="s">
        <v>67</v>
      </c>
      <c r="T30" s="4" t="s">
        <v>66</v>
      </c>
      <c r="U30" s="4" t="s">
        <v>538</v>
      </c>
      <c r="V30" s="4" t="s">
        <v>244</v>
      </c>
      <c r="W30" s="4" t="s">
        <v>77</v>
      </c>
      <c r="X30" s="4" t="s">
        <v>77</v>
      </c>
      <c r="Y30" s="4" t="s">
        <v>539</v>
      </c>
      <c r="Z30" s="4" t="s">
        <v>540</v>
      </c>
      <c r="AA30" s="4" t="s">
        <v>541</v>
      </c>
      <c r="AB30" s="4" t="s">
        <v>542</v>
      </c>
      <c r="AC30" s="4" t="s">
        <v>543</v>
      </c>
      <c r="AD30" s="4"/>
      <c r="AE30" s="4" t="s">
        <v>67</v>
      </c>
      <c r="AF30" s="9">
        <v>46190</v>
      </c>
      <c r="AG30" s="4" t="s">
        <v>76</v>
      </c>
      <c r="AH30" s="4" t="s">
        <v>77</v>
      </c>
      <c r="AI30" s="4" t="s">
        <v>78</v>
      </c>
      <c r="AJ30" s="4"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5">
      <c r="A31" s="4" t="s">
        <v>544</v>
      </c>
      <c r="B31" s="4" t="s">
        <v>545</v>
      </c>
      <c r="C31" s="4" t="s">
        <v>546</v>
      </c>
      <c r="D31" s="8" t="s">
        <v>547</v>
      </c>
      <c r="E31" s="4" t="s">
        <v>548</v>
      </c>
      <c r="F31" s="4" t="s">
        <v>238</v>
      </c>
      <c r="G31" s="4" t="s">
        <v>238</v>
      </c>
      <c r="H31" s="4" t="s">
        <v>151</v>
      </c>
      <c r="I31" s="4" t="s">
        <v>532</v>
      </c>
      <c r="J31" s="4" t="s">
        <v>549</v>
      </c>
      <c r="K31" s="4" t="s">
        <v>550</v>
      </c>
      <c r="L31" s="4" t="s">
        <v>106</v>
      </c>
      <c r="M31" s="4" t="s">
        <v>551</v>
      </c>
      <c r="N31" s="4" t="s">
        <v>552</v>
      </c>
      <c r="O31" s="4" t="s">
        <v>63</v>
      </c>
      <c r="P31" s="4" t="s">
        <v>273</v>
      </c>
      <c r="Q31" s="4" t="s">
        <v>90</v>
      </c>
      <c r="R31" s="4" t="s">
        <v>66</v>
      </c>
      <c r="S31" s="4" t="s">
        <v>66</v>
      </c>
      <c r="T31" s="4" t="s">
        <v>67</v>
      </c>
      <c r="U31" s="4" t="s">
        <v>180</v>
      </c>
      <c r="V31" s="4" t="s">
        <v>109</v>
      </c>
      <c r="W31" s="4" t="s">
        <v>77</v>
      </c>
      <c r="X31" s="4" t="s">
        <v>77</v>
      </c>
      <c r="Y31" s="4" t="s">
        <v>553</v>
      </c>
      <c r="Z31" s="4" t="s">
        <v>554</v>
      </c>
      <c r="AA31" s="4" t="s">
        <v>555</v>
      </c>
      <c r="AB31" s="4" t="s">
        <v>556</v>
      </c>
      <c r="AC31" s="4" t="s">
        <v>557</v>
      </c>
      <c r="AD31" s="4"/>
      <c r="AE31" s="4" t="s">
        <v>67</v>
      </c>
      <c r="AF31" s="9">
        <v>46190</v>
      </c>
      <c r="AG31" s="4" t="s">
        <v>76</v>
      </c>
      <c r="AH31" s="4" t="s">
        <v>77</v>
      </c>
      <c r="AI31" s="4" t="s">
        <v>78</v>
      </c>
      <c r="AJ31" s="4"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5">
      <c r="A32" s="4" t="s">
        <v>558</v>
      </c>
      <c r="B32" s="4" t="s">
        <v>559</v>
      </c>
      <c r="C32" s="4" t="s">
        <v>560</v>
      </c>
      <c r="D32" s="8" t="s">
        <v>561</v>
      </c>
      <c r="E32" s="4" t="s">
        <v>562</v>
      </c>
      <c r="F32" s="4" t="s">
        <v>238</v>
      </c>
      <c r="G32" s="4" t="s">
        <v>238</v>
      </c>
      <c r="H32" s="4" t="s">
        <v>151</v>
      </c>
      <c r="I32" s="4" t="s">
        <v>563</v>
      </c>
      <c r="J32" s="4" t="s">
        <v>564</v>
      </c>
      <c r="K32" s="4" t="s">
        <v>565</v>
      </c>
      <c r="L32" s="4" t="s">
        <v>106</v>
      </c>
      <c r="M32" s="4" t="s">
        <v>566</v>
      </c>
      <c r="N32" s="4" t="s">
        <v>567</v>
      </c>
      <c r="O32" s="4" t="s">
        <v>63</v>
      </c>
      <c r="P32" s="4" t="s">
        <v>537</v>
      </c>
      <c r="Q32" s="4" t="s">
        <v>65</v>
      </c>
      <c r="R32" s="4" t="s">
        <v>66</v>
      </c>
      <c r="S32" s="4" t="s">
        <v>66</v>
      </c>
      <c r="T32" s="4" t="s">
        <v>67</v>
      </c>
      <c r="U32" s="4" t="s">
        <v>568</v>
      </c>
      <c r="V32" s="4" t="s">
        <v>109</v>
      </c>
      <c r="W32" s="4" t="s">
        <v>77</v>
      </c>
      <c r="X32" s="4" t="s">
        <v>77</v>
      </c>
      <c r="Y32" s="4" t="s">
        <v>569</v>
      </c>
      <c r="Z32" s="4" t="s">
        <v>570</v>
      </c>
      <c r="AA32" s="4" t="s">
        <v>571</v>
      </c>
      <c r="AB32" s="4" t="s">
        <v>572</v>
      </c>
      <c r="AC32" s="4" t="s">
        <v>573</v>
      </c>
      <c r="AD32" s="4"/>
      <c r="AE32" s="4" t="s">
        <v>67</v>
      </c>
      <c r="AF32" s="9">
        <v>46190</v>
      </c>
      <c r="AG32" s="4" t="s">
        <v>76</v>
      </c>
      <c r="AH32" s="4" t="s">
        <v>77</v>
      </c>
      <c r="AI32" s="4" t="s">
        <v>78</v>
      </c>
      <c r="AJ32" s="4"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5">
      <c r="A33" s="4" t="s">
        <v>574</v>
      </c>
      <c r="B33" s="4" t="s">
        <v>575</v>
      </c>
      <c r="C33" s="4" t="s">
        <v>576</v>
      </c>
      <c r="D33" s="8" t="s">
        <v>577</v>
      </c>
      <c r="E33" s="4" t="s">
        <v>578</v>
      </c>
      <c r="F33" s="4" t="s">
        <v>238</v>
      </c>
      <c r="G33" s="4" t="s">
        <v>238</v>
      </c>
      <c r="H33" s="4" t="s">
        <v>151</v>
      </c>
      <c r="I33" s="4" t="s">
        <v>563</v>
      </c>
      <c r="J33" s="4" t="s">
        <v>579</v>
      </c>
      <c r="K33" s="4" t="s">
        <v>580</v>
      </c>
      <c r="L33" s="4" t="s">
        <v>304</v>
      </c>
      <c r="M33" s="4" t="s">
        <v>581</v>
      </c>
      <c r="N33" s="4" t="s">
        <v>582</v>
      </c>
      <c r="O33" s="4" t="s">
        <v>63</v>
      </c>
      <c r="P33" s="4" t="s">
        <v>64</v>
      </c>
      <c r="Q33" s="4" t="s">
        <v>308</v>
      </c>
      <c r="R33" s="4" t="s">
        <v>67</v>
      </c>
      <c r="S33" s="4" t="s">
        <v>66</v>
      </c>
      <c r="T33" s="4" t="s">
        <v>66</v>
      </c>
      <c r="U33" s="4" t="s">
        <v>583</v>
      </c>
      <c r="V33" s="4" t="s">
        <v>109</v>
      </c>
      <c r="W33" s="4" t="s">
        <v>77</v>
      </c>
      <c r="X33" s="4" t="s">
        <v>77</v>
      </c>
      <c r="Y33" s="4" t="s">
        <v>584</v>
      </c>
      <c r="Z33" s="4" t="s">
        <v>585</v>
      </c>
      <c r="AA33" s="4" t="s">
        <v>586</v>
      </c>
      <c r="AB33" s="4" t="s">
        <v>587</v>
      </c>
      <c r="AC33" s="4" t="s">
        <v>588</v>
      </c>
      <c r="AD33" s="4"/>
      <c r="AE33" s="4" t="s">
        <v>67</v>
      </c>
      <c r="AF33" s="9">
        <v>46190</v>
      </c>
      <c r="AG33" s="4" t="s">
        <v>76</v>
      </c>
      <c r="AH33" s="4" t="s">
        <v>77</v>
      </c>
      <c r="AI33" s="4" t="s">
        <v>78</v>
      </c>
      <c r="AJ33" s="4"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5">
      <c r="A34" s="4" t="s">
        <v>589</v>
      </c>
      <c r="B34" s="4" t="s">
        <v>590</v>
      </c>
      <c r="C34" s="4" t="s">
        <v>591</v>
      </c>
      <c r="D34" s="8" t="s">
        <v>592</v>
      </c>
      <c r="E34" s="4" t="s">
        <v>593</v>
      </c>
      <c r="F34" s="4" t="s">
        <v>238</v>
      </c>
      <c r="G34" s="4" t="s">
        <v>238</v>
      </c>
      <c r="H34" s="4" t="s">
        <v>151</v>
      </c>
      <c r="I34" s="4" t="s">
        <v>594</v>
      </c>
      <c r="J34" s="4" t="s">
        <v>595</v>
      </c>
      <c r="K34" s="4" t="s">
        <v>596</v>
      </c>
      <c r="L34" s="4" t="s">
        <v>304</v>
      </c>
      <c r="M34" s="4" t="s">
        <v>597</v>
      </c>
      <c r="N34" s="4" t="s">
        <v>598</v>
      </c>
      <c r="O34" s="4" t="s">
        <v>63</v>
      </c>
      <c r="P34" s="4" t="s">
        <v>307</v>
      </c>
      <c r="Q34" s="4" t="s">
        <v>307</v>
      </c>
      <c r="R34" s="4" t="s">
        <v>67</v>
      </c>
      <c r="S34" s="4" t="s">
        <v>66</v>
      </c>
      <c r="T34" s="4" t="s">
        <v>66</v>
      </c>
      <c r="U34" s="4" t="s">
        <v>599</v>
      </c>
      <c r="V34" s="4" t="s">
        <v>109</v>
      </c>
      <c r="W34" s="4" t="s">
        <v>77</v>
      </c>
      <c r="X34" s="4" t="s">
        <v>57</v>
      </c>
      <c r="Y34" s="4" t="s">
        <v>600</v>
      </c>
      <c r="Z34" s="4" t="s">
        <v>601</v>
      </c>
      <c r="AA34" s="4" t="s">
        <v>602</v>
      </c>
      <c r="AB34" s="4" t="s">
        <v>603</v>
      </c>
      <c r="AC34" s="4" t="s">
        <v>604</v>
      </c>
      <c r="AD34" s="4"/>
      <c r="AE34" s="4" t="s">
        <v>75</v>
      </c>
      <c r="AF34" s="9">
        <v>46190</v>
      </c>
      <c r="AG34" s="4" t="s">
        <v>76</v>
      </c>
      <c r="AH34" s="4" t="s">
        <v>77</v>
      </c>
      <c r="AI34" s="4" t="s">
        <v>78</v>
      </c>
      <c r="AJ34" s="4" t="str">
        <f t="shared" ref="AJ34:AJ59"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5">
      <c r="A35" s="4" t="s">
        <v>605</v>
      </c>
      <c r="B35" s="4" t="s">
        <v>606</v>
      </c>
      <c r="C35" s="4" t="s">
        <v>607</v>
      </c>
      <c r="D35" s="8" t="s">
        <v>608</v>
      </c>
      <c r="E35" s="4" t="s">
        <v>609</v>
      </c>
      <c r="F35" s="4" t="s">
        <v>238</v>
      </c>
      <c r="G35" s="4" t="s">
        <v>238</v>
      </c>
      <c r="H35" s="4" t="s">
        <v>151</v>
      </c>
      <c r="I35" s="4" t="s">
        <v>594</v>
      </c>
      <c r="J35" s="4" t="s">
        <v>610</v>
      </c>
      <c r="K35" s="4" t="s">
        <v>611</v>
      </c>
      <c r="L35" s="4" t="s">
        <v>304</v>
      </c>
      <c r="M35" s="4" t="s">
        <v>612</v>
      </c>
      <c r="N35" s="4" t="s">
        <v>613</v>
      </c>
      <c r="O35" s="4" t="s">
        <v>63</v>
      </c>
      <c r="P35" s="4" t="s">
        <v>307</v>
      </c>
      <c r="Q35" s="4" t="s">
        <v>614</v>
      </c>
      <c r="R35" s="4" t="s">
        <v>67</v>
      </c>
      <c r="S35" s="4" t="s">
        <v>66</v>
      </c>
      <c r="T35" s="4" t="s">
        <v>66</v>
      </c>
      <c r="U35" s="4" t="s">
        <v>615</v>
      </c>
      <c r="V35" s="4" t="s">
        <v>109</v>
      </c>
      <c r="W35" s="4" t="s">
        <v>77</v>
      </c>
      <c r="X35" s="4" t="s">
        <v>57</v>
      </c>
      <c r="Y35" s="4" t="s">
        <v>616</v>
      </c>
      <c r="Z35" s="4" t="s">
        <v>617</v>
      </c>
      <c r="AA35" s="4" t="s">
        <v>618</v>
      </c>
      <c r="AB35" s="4" t="s">
        <v>619</v>
      </c>
      <c r="AC35" s="4" t="s">
        <v>620</v>
      </c>
      <c r="AD35" s="4"/>
      <c r="AE35" s="4" t="s">
        <v>75</v>
      </c>
      <c r="AF35" s="9">
        <v>46190</v>
      </c>
      <c r="AG35" s="4" t="s">
        <v>76</v>
      </c>
      <c r="AH35" s="4" t="s">
        <v>77</v>
      </c>
      <c r="AI35" s="4" t="s">
        <v>78</v>
      </c>
      <c r="AJ35" s="4"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4" t="s">
        <v>621</v>
      </c>
      <c r="B36" s="4" t="s">
        <v>622</v>
      </c>
      <c r="C36" s="4" t="s">
        <v>623</v>
      </c>
      <c r="D36" s="4" t="s">
        <v>624</v>
      </c>
      <c r="E36" s="4" t="s">
        <v>625</v>
      </c>
      <c r="F36" s="4" t="s">
        <v>238</v>
      </c>
      <c r="G36" s="4" t="s">
        <v>238</v>
      </c>
      <c r="H36" s="4" t="s">
        <v>151</v>
      </c>
      <c r="I36" s="4" t="s">
        <v>594</v>
      </c>
      <c r="J36" s="4" t="s">
        <v>626</v>
      </c>
      <c r="K36" s="4" t="s">
        <v>627</v>
      </c>
      <c r="L36" s="4" t="s">
        <v>304</v>
      </c>
      <c r="M36" s="4" t="s">
        <v>628</v>
      </c>
      <c r="N36" s="4" t="s">
        <v>629</v>
      </c>
      <c r="O36" s="4" t="s">
        <v>63</v>
      </c>
      <c r="P36" s="4" t="s">
        <v>630</v>
      </c>
      <c r="Q36" s="4" t="s">
        <v>307</v>
      </c>
      <c r="R36" s="4" t="s">
        <v>67</v>
      </c>
      <c r="S36" s="4" t="s">
        <v>66</v>
      </c>
      <c r="T36" s="4" t="s">
        <v>66</v>
      </c>
      <c r="U36" s="4" t="s">
        <v>631</v>
      </c>
      <c r="V36" s="4" t="s">
        <v>632</v>
      </c>
      <c r="W36" s="4" t="s">
        <v>77</v>
      </c>
      <c r="X36" s="4" t="s">
        <v>57</v>
      </c>
      <c r="Y36" s="4" t="s">
        <v>633</v>
      </c>
      <c r="Z36" s="4" t="s">
        <v>634</v>
      </c>
      <c r="AA36" s="4" t="s">
        <v>635</v>
      </c>
      <c r="AB36" s="4" t="s">
        <v>636</v>
      </c>
      <c r="AC36" s="4" t="s">
        <v>637</v>
      </c>
      <c r="AD36" s="4"/>
      <c r="AE36" s="4" t="s">
        <v>66</v>
      </c>
      <c r="AF36" s="9">
        <v>46190</v>
      </c>
      <c r="AG36" s="4" t="s">
        <v>131</v>
      </c>
      <c r="AH36" s="4" t="s">
        <v>77</v>
      </c>
      <c r="AI36" s="4" t="s">
        <v>78</v>
      </c>
      <c r="AJ36" s="4"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5">
      <c r="A37" s="4" t="s">
        <v>638</v>
      </c>
      <c r="B37" s="4" t="s">
        <v>639</v>
      </c>
      <c r="C37" s="4" t="s">
        <v>640</v>
      </c>
      <c r="D37" s="8" t="s">
        <v>641</v>
      </c>
      <c r="E37" s="4" t="s">
        <v>642</v>
      </c>
      <c r="F37" s="4" t="s">
        <v>469</v>
      </c>
      <c r="G37" s="4" t="s">
        <v>469</v>
      </c>
      <c r="H37" s="4" t="s">
        <v>77</v>
      </c>
      <c r="I37" s="4" t="s">
        <v>103</v>
      </c>
      <c r="J37" s="4" t="s">
        <v>643</v>
      </c>
      <c r="K37" s="4" t="s">
        <v>644</v>
      </c>
      <c r="L37" s="4" t="s">
        <v>206</v>
      </c>
      <c r="M37" s="4" t="s">
        <v>645</v>
      </c>
      <c r="N37" s="4" t="s">
        <v>646</v>
      </c>
      <c r="O37" s="4" t="s">
        <v>63</v>
      </c>
      <c r="P37" s="4" t="s">
        <v>64</v>
      </c>
      <c r="Q37" s="4" t="s">
        <v>65</v>
      </c>
      <c r="R37" s="4" t="s">
        <v>66</v>
      </c>
      <c r="S37" s="4" t="s">
        <v>67</v>
      </c>
      <c r="T37" s="4" t="s">
        <v>143</v>
      </c>
      <c r="U37" s="4" t="s">
        <v>647</v>
      </c>
      <c r="V37" s="4" t="s">
        <v>521</v>
      </c>
      <c r="W37" s="4" t="s">
        <v>77</v>
      </c>
      <c r="X37" s="4" t="s">
        <v>77</v>
      </c>
      <c r="Y37" s="4" t="s">
        <v>648</v>
      </c>
      <c r="Z37" s="4" t="s">
        <v>649</v>
      </c>
      <c r="AA37" s="4" t="s">
        <v>650</v>
      </c>
      <c r="AB37" s="4" t="s">
        <v>651</v>
      </c>
      <c r="AC37" s="4" t="s">
        <v>652</v>
      </c>
      <c r="AD37" s="4"/>
      <c r="AE37" s="4" t="s">
        <v>75</v>
      </c>
      <c r="AF37" s="9">
        <v>46191</v>
      </c>
      <c r="AG37" s="4" t="s">
        <v>76</v>
      </c>
      <c r="AH37" s="4" t="s">
        <v>77</v>
      </c>
      <c r="AI37" s="4" t="s">
        <v>78</v>
      </c>
      <c r="AJ37" s="4"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5">
      <c r="A38" s="4" t="s">
        <v>653</v>
      </c>
      <c r="B38" s="4" t="s">
        <v>654</v>
      </c>
      <c r="C38" s="4" t="s">
        <v>655</v>
      </c>
      <c r="D38" s="8" t="s">
        <v>656</v>
      </c>
      <c r="E38" s="4" t="s">
        <v>657</v>
      </c>
      <c r="F38" s="4" t="s">
        <v>238</v>
      </c>
      <c r="G38" s="4" t="s">
        <v>238</v>
      </c>
      <c r="H38" s="4" t="s">
        <v>151</v>
      </c>
      <c r="I38" s="4" t="s">
        <v>223</v>
      </c>
      <c r="J38" s="4" t="s">
        <v>658</v>
      </c>
      <c r="K38" s="4" t="s">
        <v>659</v>
      </c>
      <c r="L38" s="4" t="s">
        <v>223</v>
      </c>
      <c r="M38" s="4" t="s">
        <v>660</v>
      </c>
      <c r="N38" s="4" t="s">
        <v>661</v>
      </c>
      <c r="O38" s="4" t="s">
        <v>211</v>
      </c>
      <c r="P38" s="4" t="s">
        <v>64</v>
      </c>
      <c r="Q38" s="4" t="s">
        <v>65</v>
      </c>
      <c r="R38" s="4" t="s">
        <v>66</v>
      </c>
      <c r="S38" s="4" t="s">
        <v>67</v>
      </c>
      <c r="T38" s="4" t="s">
        <v>143</v>
      </c>
      <c r="U38" s="4" t="s">
        <v>662</v>
      </c>
      <c r="V38" s="4" t="s">
        <v>663</v>
      </c>
      <c r="W38" s="4" t="s">
        <v>77</v>
      </c>
      <c r="X38" s="4" t="s">
        <v>77</v>
      </c>
      <c r="Y38" s="4" t="s">
        <v>664</v>
      </c>
      <c r="Z38" s="4" t="s">
        <v>665</v>
      </c>
      <c r="AA38" s="4" t="s">
        <v>666</v>
      </c>
      <c r="AB38" s="4" t="s">
        <v>667</v>
      </c>
      <c r="AC38" s="4" t="s">
        <v>668</v>
      </c>
      <c r="AD38" s="4"/>
      <c r="AE38" s="4" t="s">
        <v>75</v>
      </c>
      <c r="AF38" s="9">
        <v>46191</v>
      </c>
      <c r="AG38" s="4" t="s">
        <v>76</v>
      </c>
      <c r="AH38" s="4" t="s">
        <v>77</v>
      </c>
      <c r="AI38" s="4" t="s">
        <v>78</v>
      </c>
      <c r="AJ38" s="4"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5">
      <c r="A39" s="4" t="s">
        <v>669</v>
      </c>
      <c r="B39" s="4" t="s">
        <v>670</v>
      </c>
      <c r="C39" s="4" t="s">
        <v>671</v>
      </c>
      <c r="D39" s="8" t="s">
        <v>672</v>
      </c>
      <c r="E39" s="4" t="s">
        <v>673</v>
      </c>
      <c r="F39" s="4" t="s">
        <v>469</v>
      </c>
      <c r="G39" s="4" t="s">
        <v>469</v>
      </c>
      <c r="H39" s="4" t="s">
        <v>77</v>
      </c>
      <c r="I39" s="4" t="s">
        <v>206</v>
      </c>
      <c r="J39" s="4" t="s">
        <v>674</v>
      </c>
      <c r="K39" s="4" t="s">
        <v>675</v>
      </c>
      <c r="L39" s="4" t="s">
        <v>206</v>
      </c>
      <c r="M39" s="4" t="s">
        <v>676</v>
      </c>
      <c r="N39" s="4" t="s">
        <v>677</v>
      </c>
      <c r="O39" s="4" t="s">
        <v>63</v>
      </c>
      <c r="P39" s="4" t="s">
        <v>64</v>
      </c>
      <c r="Q39" s="4" t="s">
        <v>90</v>
      </c>
      <c r="R39" s="4" t="s">
        <v>66</v>
      </c>
      <c r="S39" s="4" t="s">
        <v>67</v>
      </c>
      <c r="T39" s="4" t="s">
        <v>66</v>
      </c>
      <c r="U39" s="4" t="s">
        <v>678</v>
      </c>
      <c r="V39" s="4" t="s">
        <v>679</v>
      </c>
      <c r="W39" s="4" t="s">
        <v>77</v>
      </c>
      <c r="X39" s="4" t="s">
        <v>77</v>
      </c>
      <c r="Y39" s="4" t="s">
        <v>680</v>
      </c>
      <c r="Z39" s="4" t="s">
        <v>681</v>
      </c>
      <c r="AA39" s="4" t="s">
        <v>682</v>
      </c>
      <c r="AB39" s="4" t="s">
        <v>683</v>
      </c>
      <c r="AC39" s="4" t="s">
        <v>684</v>
      </c>
      <c r="AD39" s="4"/>
      <c r="AE39" s="4" t="s">
        <v>67</v>
      </c>
      <c r="AF39" s="9">
        <v>46191</v>
      </c>
      <c r="AG39" s="4" t="s">
        <v>76</v>
      </c>
      <c r="AH39" s="4" t="s">
        <v>151</v>
      </c>
      <c r="AI39" s="4" t="s">
        <v>78</v>
      </c>
      <c r="AJ39" s="4"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5">
      <c r="A40" s="4" t="s">
        <v>685</v>
      </c>
      <c r="B40" s="4" t="s">
        <v>686</v>
      </c>
      <c r="C40" s="4" t="s">
        <v>687</v>
      </c>
      <c r="D40" s="8" t="s">
        <v>688</v>
      </c>
      <c r="E40" s="4" t="s">
        <v>689</v>
      </c>
      <c r="F40" s="4" t="s">
        <v>238</v>
      </c>
      <c r="G40" s="4" t="s">
        <v>238</v>
      </c>
      <c r="H40" s="4" t="s">
        <v>151</v>
      </c>
      <c r="I40" s="4" t="s">
        <v>206</v>
      </c>
      <c r="J40" s="4" t="s">
        <v>690</v>
      </c>
      <c r="K40" s="4" t="s">
        <v>691</v>
      </c>
      <c r="L40" s="4" t="s">
        <v>206</v>
      </c>
      <c r="M40" s="4" t="s">
        <v>692</v>
      </c>
      <c r="N40" s="4" t="s">
        <v>693</v>
      </c>
      <c r="O40" s="4" t="s">
        <v>211</v>
      </c>
      <c r="P40" s="4" t="s">
        <v>64</v>
      </c>
      <c r="Q40" s="4" t="s">
        <v>90</v>
      </c>
      <c r="R40" s="4" t="s">
        <v>66</v>
      </c>
      <c r="S40" s="4" t="s">
        <v>67</v>
      </c>
      <c r="T40" s="4" t="s">
        <v>143</v>
      </c>
      <c r="U40" s="4" t="s">
        <v>358</v>
      </c>
      <c r="V40" s="4" t="s">
        <v>663</v>
      </c>
      <c r="W40" s="4" t="s">
        <v>77</v>
      </c>
      <c r="X40" s="4" t="s">
        <v>77</v>
      </c>
      <c r="Y40" s="4" t="s">
        <v>694</v>
      </c>
      <c r="Z40" s="4" t="s">
        <v>695</v>
      </c>
      <c r="AA40" s="4" t="s">
        <v>696</v>
      </c>
      <c r="AB40" s="4" t="s">
        <v>697</v>
      </c>
      <c r="AC40" s="4" t="s">
        <v>698</v>
      </c>
      <c r="AD40" s="4"/>
      <c r="AE40" s="4" t="s">
        <v>67</v>
      </c>
      <c r="AF40" s="9">
        <v>46191</v>
      </c>
      <c r="AG40" s="4" t="s">
        <v>76</v>
      </c>
      <c r="AH40" s="4" t="s">
        <v>151</v>
      </c>
      <c r="AI40" s="4" t="s">
        <v>78</v>
      </c>
      <c r="AJ40" s="4"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5">
      <c r="A41" s="4" t="s">
        <v>699</v>
      </c>
      <c r="B41" s="4" t="s">
        <v>700</v>
      </c>
      <c r="C41" s="4" t="s">
        <v>701</v>
      </c>
      <c r="D41" s="8" t="s">
        <v>702</v>
      </c>
      <c r="E41" s="4" t="s">
        <v>703</v>
      </c>
      <c r="F41" s="4" t="s">
        <v>704</v>
      </c>
      <c r="G41" s="4" t="s">
        <v>705</v>
      </c>
      <c r="H41" s="4" t="s">
        <v>77</v>
      </c>
      <c r="I41" s="4" t="s">
        <v>58</v>
      </c>
      <c r="J41" s="4" t="s">
        <v>706</v>
      </c>
      <c r="K41" s="4" t="s">
        <v>707</v>
      </c>
      <c r="L41" s="4" t="s">
        <v>708</v>
      </c>
      <c r="M41" s="4" t="s">
        <v>709</v>
      </c>
      <c r="N41" s="4" t="s">
        <v>709</v>
      </c>
      <c r="O41" s="4" t="s">
        <v>211</v>
      </c>
      <c r="P41" s="4" t="s">
        <v>64</v>
      </c>
      <c r="Q41" s="4" t="s">
        <v>65</v>
      </c>
      <c r="R41" s="4" t="s">
        <v>66</v>
      </c>
      <c r="S41" s="4" t="s">
        <v>67</v>
      </c>
      <c r="T41" s="4" t="s">
        <v>66</v>
      </c>
      <c r="U41" s="4" t="s">
        <v>710</v>
      </c>
      <c r="V41" s="4" t="s">
        <v>711</v>
      </c>
      <c r="W41" s="4" t="s">
        <v>77</v>
      </c>
      <c r="X41" s="4" t="s">
        <v>77</v>
      </c>
      <c r="Y41" s="4" t="s">
        <v>712</v>
      </c>
      <c r="Z41" s="4" t="s">
        <v>713</v>
      </c>
      <c r="AA41" s="4" t="s">
        <v>714</v>
      </c>
      <c r="AB41" s="4" t="s">
        <v>715</v>
      </c>
      <c r="AC41" s="4" t="s">
        <v>716</v>
      </c>
      <c r="AD41" s="4"/>
      <c r="AE41" s="4" t="s">
        <v>75</v>
      </c>
      <c r="AF41" s="9">
        <v>46191</v>
      </c>
      <c r="AG41" s="4" t="s">
        <v>76</v>
      </c>
      <c r="AH41" s="4" t="s">
        <v>151</v>
      </c>
      <c r="AI41" s="4" t="s">
        <v>78</v>
      </c>
      <c r="AJ41" s="4"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5">
      <c r="A42" s="4" t="s">
        <v>717</v>
      </c>
      <c r="B42" s="4" t="s">
        <v>718</v>
      </c>
      <c r="C42" s="4" t="s">
        <v>719</v>
      </c>
      <c r="D42" s="8" t="s">
        <v>720</v>
      </c>
      <c r="E42" s="4" t="s">
        <v>721</v>
      </c>
      <c r="F42" s="4" t="s">
        <v>722</v>
      </c>
      <c r="G42" s="4" t="s">
        <v>722</v>
      </c>
      <c r="H42" s="4" t="s">
        <v>57</v>
      </c>
      <c r="I42" s="4" t="s">
        <v>58</v>
      </c>
      <c r="J42" s="4" t="s">
        <v>723</v>
      </c>
      <c r="K42" s="4" t="s">
        <v>724</v>
      </c>
      <c r="L42" s="4" t="s">
        <v>58</v>
      </c>
      <c r="M42" s="4" t="s">
        <v>725</v>
      </c>
      <c r="N42" s="4" t="s">
        <v>726</v>
      </c>
      <c r="O42" s="4" t="s">
        <v>63</v>
      </c>
      <c r="P42" s="4" t="s">
        <v>727</v>
      </c>
      <c r="Q42" s="4" t="s">
        <v>65</v>
      </c>
      <c r="R42" s="4" t="s">
        <v>66</v>
      </c>
      <c r="S42" s="4" t="s">
        <v>67</v>
      </c>
      <c r="T42" s="4" t="s">
        <v>66</v>
      </c>
      <c r="U42" s="4" t="s">
        <v>728</v>
      </c>
      <c r="V42" s="4" t="s">
        <v>729</v>
      </c>
      <c r="W42" s="4" t="s">
        <v>57</v>
      </c>
      <c r="X42" s="4" t="s">
        <v>57</v>
      </c>
      <c r="Y42" s="4" t="s">
        <v>730</v>
      </c>
      <c r="Z42" s="4" t="s">
        <v>731</v>
      </c>
      <c r="AA42" s="4" t="s">
        <v>732</v>
      </c>
      <c r="AB42" s="4" t="s">
        <v>733</v>
      </c>
      <c r="AC42" s="4" t="s">
        <v>734</v>
      </c>
      <c r="AD42" s="4"/>
      <c r="AE42" s="4" t="s">
        <v>75</v>
      </c>
      <c r="AF42" s="9">
        <v>46191</v>
      </c>
      <c r="AG42" s="4" t="s">
        <v>76</v>
      </c>
      <c r="AH42" s="4" t="s">
        <v>77</v>
      </c>
      <c r="AI42" s="4" t="s">
        <v>78</v>
      </c>
      <c r="AJ42" s="4"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5">
      <c r="A43" s="4" t="s">
        <v>735</v>
      </c>
      <c r="B43" s="4" t="s">
        <v>736</v>
      </c>
      <c r="C43" s="4" t="s">
        <v>737</v>
      </c>
      <c r="D43" s="8" t="s">
        <v>738</v>
      </c>
      <c r="E43" s="4" t="s">
        <v>739</v>
      </c>
      <c r="F43" s="4" t="s">
        <v>238</v>
      </c>
      <c r="G43" s="4" t="s">
        <v>238</v>
      </c>
      <c r="H43" s="4" t="s">
        <v>151</v>
      </c>
      <c r="I43" s="4" t="s">
        <v>706</v>
      </c>
      <c r="J43" s="4" t="s">
        <v>740</v>
      </c>
      <c r="K43" s="4" t="s">
        <v>741</v>
      </c>
      <c r="L43" s="4" t="s">
        <v>742</v>
      </c>
      <c r="M43" s="4" t="s">
        <v>743</v>
      </c>
      <c r="N43" s="4" t="s">
        <v>744</v>
      </c>
      <c r="O43" s="4" t="s">
        <v>63</v>
      </c>
      <c r="P43" s="4" t="s">
        <v>64</v>
      </c>
      <c r="Q43" s="4" t="s">
        <v>90</v>
      </c>
      <c r="R43" s="4" t="s">
        <v>66</v>
      </c>
      <c r="S43" s="4" t="s">
        <v>66</v>
      </c>
      <c r="T43" s="4" t="s">
        <v>66</v>
      </c>
      <c r="U43" s="4" t="s">
        <v>745</v>
      </c>
      <c r="V43" s="4" t="s">
        <v>746</v>
      </c>
      <c r="W43" s="4" t="s">
        <v>151</v>
      </c>
      <c r="X43" s="4" t="s">
        <v>151</v>
      </c>
      <c r="Y43" s="4" t="s">
        <v>747</v>
      </c>
      <c r="Z43" s="4" t="s">
        <v>748</v>
      </c>
      <c r="AA43" s="4" t="s">
        <v>749</v>
      </c>
      <c r="AB43" s="4" t="s">
        <v>750</v>
      </c>
      <c r="AC43" s="4" t="s">
        <v>751</v>
      </c>
      <c r="AD43" s="4"/>
      <c r="AE43" s="4" t="s">
        <v>67</v>
      </c>
      <c r="AF43" s="9">
        <v>46191</v>
      </c>
      <c r="AG43" s="4" t="s">
        <v>76</v>
      </c>
      <c r="AH43" s="4" t="s">
        <v>151</v>
      </c>
      <c r="AI43" s="4" t="s">
        <v>78</v>
      </c>
      <c r="AJ43" s="4"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4" t="s">
        <v>752</v>
      </c>
      <c r="B44" s="4" t="s">
        <v>753</v>
      </c>
      <c r="C44" s="4" t="s">
        <v>754</v>
      </c>
      <c r="D44" s="4" t="s">
        <v>755</v>
      </c>
      <c r="E44" s="4" t="s">
        <v>756</v>
      </c>
      <c r="F44" s="4" t="s">
        <v>238</v>
      </c>
      <c r="G44" s="4" t="s">
        <v>238</v>
      </c>
      <c r="H44" s="4" t="s">
        <v>151</v>
      </c>
      <c r="I44" s="4" t="s">
        <v>137</v>
      </c>
      <c r="J44" s="4" t="s">
        <v>757</v>
      </c>
      <c r="K44" s="4" t="s">
        <v>758</v>
      </c>
      <c r="L44" s="4" t="s">
        <v>759</v>
      </c>
      <c r="M44" s="4" t="s">
        <v>760</v>
      </c>
      <c r="N44" s="4" t="s">
        <v>761</v>
      </c>
      <c r="O44" s="4" t="s">
        <v>211</v>
      </c>
      <c r="P44" s="4" t="s">
        <v>762</v>
      </c>
      <c r="Q44" s="4" t="s">
        <v>763</v>
      </c>
      <c r="R44" s="4" t="s">
        <v>67</v>
      </c>
      <c r="S44" s="4" t="s">
        <v>66</v>
      </c>
      <c r="T44" s="4" t="s">
        <v>67</v>
      </c>
      <c r="U44" s="4" t="s">
        <v>764</v>
      </c>
      <c r="V44" s="4" t="s">
        <v>765</v>
      </c>
      <c r="W44" s="4" t="s">
        <v>77</v>
      </c>
      <c r="X44" s="4" t="s">
        <v>151</v>
      </c>
      <c r="Y44" s="4" t="s">
        <v>766</v>
      </c>
      <c r="Z44" s="4" t="s">
        <v>767</v>
      </c>
      <c r="AA44" s="4" t="s">
        <v>768</v>
      </c>
      <c r="AB44" s="4" t="s">
        <v>769</v>
      </c>
      <c r="AC44" s="4" t="s">
        <v>770</v>
      </c>
      <c r="AD44" s="4"/>
      <c r="AE44" s="4" t="s">
        <v>67</v>
      </c>
      <c r="AF44" s="9">
        <v>46191</v>
      </c>
      <c r="AG44" s="4" t="s">
        <v>131</v>
      </c>
      <c r="AH44" s="4" t="s">
        <v>151</v>
      </c>
      <c r="AI44" s="4" t="s">
        <v>78</v>
      </c>
      <c r="AJ44" s="4"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4" t="s">
        <v>771</v>
      </c>
      <c r="B45" s="4" t="s">
        <v>772</v>
      </c>
      <c r="C45" s="4" t="s">
        <v>773</v>
      </c>
      <c r="D45" s="8" t="s">
        <v>774</v>
      </c>
      <c r="E45" s="4" t="s">
        <v>775</v>
      </c>
      <c r="F45" s="4" t="s">
        <v>238</v>
      </c>
      <c r="G45" s="4" t="s">
        <v>238</v>
      </c>
      <c r="H45" s="4" t="s">
        <v>151</v>
      </c>
      <c r="I45" s="4" t="s">
        <v>64</v>
      </c>
      <c r="J45" s="4" t="s">
        <v>776</v>
      </c>
      <c r="K45" s="4" t="s">
        <v>777</v>
      </c>
      <c r="L45" s="4" t="s">
        <v>106</v>
      </c>
      <c r="M45" s="4" t="s">
        <v>778</v>
      </c>
      <c r="N45" s="4" t="s">
        <v>779</v>
      </c>
      <c r="O45" s="4" t="s">
        <v>63</v>
      </c>
      <c r="P45" s="4" t="s">
        <v>64</v>
      </c>
      <c r="Q45" s="4" t="s">
        <v>64</v>
      </c>
      <c r="R45" s="4" t="s">
        <v>66</v>
      </c>
      <c r="S45" s="4" t="s">
        <v>143</v>
      </c>
      <c r="T45" s="4" t="s">
        <v>67</v>
      </c>
      <c r="U45" s="4" t="s">
        <v>228</v>
      </c>
      <c r="V45" s="4" t="s">
        <v>780</v>
      </c>
      <c r="W45" s="4" t="s">
        <v>143</v>
      </c>
      <c r="X45" s="4" t="s">
        <v>151</v>
      </c>
      <c r="Y45" s="4" t="s">
        <v>781</v>
      </c>
      <c r="Z45" s="4" t="s">
        <v>782</v>
      </c>
      <c r="AA45" s="4" t="s">
        <v>783</v>
      </c>
      <c r="AB45" s="4" t="s">
        <v>784</v>
      </c>
      <c r="AC45" s="4" t="s">
        <v>785</v>
      </c>
      <c r="AD45" s="4"/>
      <c r="AE45" s="4" t="s">
        <v>67</v>
      </c>
      <c r="AF45" s="9">
        <v>46191</v>
      </c>
      <c r="AG45" s="4" t="s">
        <v>131</v>
      </c>
      <c r="AH45" s="4" t="s">
        <v>151</v>
      </c>
      <c r="AI45" s="4" t="s">
        <v>78</v>
      </c>
      <c r="AJ45" s="4"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5">
      <c r="A46" s="4" t="s">
        <v>786</v>
      </c>
      <c r="B46" s="4" t="s">
        <v>787</v>
      </c>
      <c r="C46" s="4" t="s">
        <v>788</v>
      </c>
      <c r="D46" s="4" t="s">
        <v>789</v>
      </c>
      <c r="E46" s="4" t="s">
        <v>790</v>
      </c>
      <c r="F46" s="4" t="s">
        <v>238</v>
      </c>
      <c r="G46" s="4" t="s">
        <v>238</v>
      </c>
      <c r="H46" s="4" t="s">
        <v>151</v>
      </c>
      <c r="I46" s="4" t="s">
        <v>64</v>
      </c>
      <c r="J46" s="4" t="s">
        <v>791</v>
      </c>
      <c r="K46" s="4" t="s">
        <v>792</v>
      </c>
      <c r="L46" s="4" t="s">
        <v>106</v>
      </c>
      <c r="M46" s="4" t="s">
        <v>793</v>
      </c>
      <c r="N46" s="4" t="s">
        <v>794</v>
      </c>
      <c r="O46" s="4" t="s">
        <v>63</v>
      </c>
      <c r="P46" s="4" t="s">
        <v>273</v>
      </c>
      <c r="Q46" s="4" t="s">
        <v>90</v>
      </c>
      <c r="R46" s="4" t="s">
        <v>66</v>
      </c>
      <c r="S46" s="4" t="s">
        <v>66</v>
      </c>
      <c r="T46" s="4" t="s">
        <v>67</v>
      </c>
      <c r="U46" s="4" t="s">
        <v>795</v>
      </c>
      <c r="V46" s="4" t="s">
        <v>796</v>
      </c>
      <c r="W46" s="4" t="s">
        <v>77</v>
      </c>
      <c r="X46" s="4" t="s">
        <v>77</v>
      </c>
      <c r="Y46" s="4" t="s">
        <v>797</v>
      </c>
      <c r="Z46" s="4" t="s">
        <v>798</v>
      </c>
      <c r="AA46" s="4" t="s">
        <v>799</v>
      </c>
      <c r="AB46" s="4" t="s">
        <v>800</v>
      </c>
      <c r="AC46" s="4" t="s">
        <v>801</v>
      </c>
      <c r="AD46" s="4"/>
      <c r="AE46" s="4" t="s">
        <v>67</v>
      </c>
      <c r="AF46" s="9">
        <v>46191</v>
      </c>
      <c r="AG46" s="4" t="s">
        <v>131</v>
      </c>
      <c r="AH46" s="4" t="s">
        <v>151</v>
      </c>
      <c r="AI46" s="4" t="s">
        <v>78</v>
      </c>
      <c r="AJ46" s="4"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5">
      <c r="A47" s="4" t="s">
        <v>802</v>
      </c>
      <c r="B47" s="4" t="s">
        <v>803</v>
      </c>
      <c r="C47" s="4" t="s">
        <v>804</v>
      </c>
      <c r="D47" s="4" t="s">
        <v>805</v>
      </c>
      <c r="E47" s="4" t="s">
        <v>806</v>
      </c>
      <c r="F47" s="4" t="s">
        <v>238</v>
      </c>
      <c r="G47" s="4" t="s">
        <v>238</v>
      </c>
      <c r="H47" s="4" t="s">
        <v>151</v>
      </c>
      <c r="I47" s="4" t="s">
        <v>64</v>
      </c>
      <c r="J47" s="4" t="s">
        <v>807</v>
      </c>
      <c r="K47" s="4" t="s">
        <v>808</v>
      </c>
      <c r="L47" s="4" t="s">
        <v>809</v>
      </c>
      <c r="M47" s="4" t="s">
        <v>810</v>
      </c>
      <c r="N47" s="4" t="s">
        <v>811</v>
      </c>
      <c r="O47" s="4" t="s">
        <v>63</v>
      </c>
      <c r="P47" s="4" t="s">
        <v>340</v>
      </c>
      <c r="Q47" s="4" t="s">
        <v>307</v>
      </c>
      <c r="R47" s="4" t="s">
        <v>67</v>
      </c>
      <c r="S47" s="4" t="s">
        <v>66</v>
      </c>
      <c r="T47" s="4" t="s">
        <v>67</v>
      </c>
      <c r="U47" s="4" t="s">
        <v>812</v>
      </c>
      <c r="V47" s="4" t="s">
        <v>813</v>
      </c>
      <c r="W47" s="4" t="s">
        <v>57</v>
      </c>
      <c r="X47" s="4" t="s">
        <v>57</v>
      </c>
      <c r="Y47" s="4" t="s">
        <v>814</v>
      </c>
      <c r="Z47" s="4" t="s">
        <v>815</v>
      </c>
      <c r="AA47" s="4" t="s">
        <v>816</v>
      </c>
      <c r="AB47" s="4" t="s">
        <v>817</v>
      </c>
      <c r="AC47" s="4" t="s">
        <v>818</v>
      </c>
      <c r="AD47" s="4"/>
      <c r="AE47" s="4" t="s">
        <v>66</v>
      </c>
      <c r="AF47" s="9">
        <v>46192</v>
      </c>
      <c r="AG47" s="4" t="s">
        <v>131</v>
      </c>
      <c r="AH47" s="4" t="s">
        <v>57</v>
      </c>
      <c r="AI47" s="4" t="s">
        <v>78</v>
      </c>
      <c r="AJ47" s="4" t="str">
        <f>LOWER(_xlfn.SINGLE(_xlfn.TEXTJOIN(" ", TRUE, B47, C47, E47, F47, G47, I47, J47, K47, L47, M47, N47, O47, P47, Q47, X47, Y47, Z47, AA47, AB47, AC47, AD47)))</f>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5">
      <c r="A48" s="4" t="s">
        <v>819</v>
      </c>
      <c r="B48" s="4" t="s">
        <v>820</v>
      </c>
      <c r="C48" s="4" t="s">
        <v>821</v>
      </c>
      <c r="D48" s="4" t="s">
        <v>822</v>
      </c>
      <c r="E48" s="4" t="s">
        <v>823</v>
      </c>
      <c r="F48" s="4" t="s">
        <v>238</v>
      </c>
      <c r="G48" s="4" t="s">
        <v>238</v>
      </c>
      <c r="H48" s="4" t="s">
        <v>151</v>
      </c>
      <c r="I48" s="4" t="s">
        <v>824</v>
      </c>
      <c r="J48" s="4" t="s">
        <v>825</v>
      </c>
      <c r="K48" s="4" t="s">
        <v>826</v>
      </c>
      <c r="L48" s="4" t="s">
        <v>809</v>
      </c>
      <c r="M48" s="4" t="s">
        <v>827</v>
      </c>
      <c r="N48" s="4" t="s">
        <v>828</v>
      </c>
      <c r="O48" s="4" t="s">
        <v>63</v>
      </c>
      <c r="P48" s="7" t="s">
        <v>829</v>
      </c>
      <c r="Q48" s="4" t="s">
        <v>829</v>
      </c>
      <c r="R48" s="4" t="s">
        <v>67</v>
      </c>
      <c r="S48" s="4" t="s">
        <v>66</v>
      </c>
      <c r="T48" s="4" t="s">
        <v>67</v>
      </c>
      <c r="U48" s="4" t="s">
        <v>830</v>
      </c>
      <c r="V48" s="4" t="s">
        <v>830</v>
      </c>
      <c r="W48" s="4" t="s">
        <v>57</v>
      </c>
      <c r="X48" s="4" t="s">
        <v>57</v>
      </c>
      <c r="Y48" s="4" t="s">
        <v>831</v>
      </c>
      <c r="Z48" s="4" t="s">
        <v>832</v>
      </c>
      <c r="AA48" s="4" t="s">
        <v>833</v>
      </c>
      <c r="AB48" s="4" t="s">
        <v>834</v>
      </c>
      <c r="AC48" s="4" t="s">
        <v>835</v>
      </c>
      <c r="AD48" s="4"/>
      <c r="AE48" s="4" t="s">
        <v>75</v>
      </c>
      <c r="AF48" s="9">
        <v>46191</v>
      </c>
      <c r="AG48" s="4" t="s">
        <v>131</v>
      </c>
      <c r="AH48" s="4" t="s">
        <v>77</v>
      </c>
      <c r="AI48" s="4" t="s">
        <v>78</v>
      </c>
      <c r="AJ48" s="4"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5">
      <c r="A49" s="4" t="s">
        <v>836</v>
      </c>
      <c r="B49" s="4" t="s">
        <v>837</v>
      </c>
      <c r="C49" s="4" t="s">
        <v>838</v>
      </c>
      <c r="D49" s="8" t="s">
        <v>839</v>
      </c>
      <c r="E49" s="4" t="s">
        <v>840</v>
      </c>
      <c r="F49" s="4" t="s">
        <v>238</v>
      </c>
      <c r="G49" s="4" t="s">
        <v>238</v>
      </c>
      <c r="H49" s="4" t="s">
        <v>151</v>
      </c>
      <c r="I49" s="4" t="s">
        <v>824</v>
      </c>
      <c r="J49" s="4" t="s">
        <v>841</v>
      </c>
      <c r="K49" s="4" t="s">
        <v>842</v>
      </c>
      <c r="L49" s="4" t="s">
        <v>809</v>
      </c>
      <c r="M49" s="4" t="s">
        <v>843</v>
      </c>
      <c r="N49" s="4" t="s">
        <v>844</v>
      </c>
      <c r="O49" s="4" t="s">
        <v>63</v>
      </c>
      <c r="P49" s="4" t="s">
        <v>64</v>
      </c>
      <c r="Q49" s="4" t="s">
        <v>64</v>
      </c>
      <c r="R49" s="4" t="s">
        <v>67</v>
      </c>
      <c r="S49" s="4" t="s">
        <v>66</v>
      </c>
      <c r="T49" s="4" t="s">
        <v>66</v>
      </c>
      <c r="U49" s="4" t="s">
        <v>259</v>
      </c>
      <c r="V49" s="4" t="s">
        <v>711</v>
      </c>
      <c r="W49" s="4" t="s">
        <v>77</v>
      </c>
      <c r="X49" s="4" t="s">
        <v>57</v>
      </c>
      <c r="Y49" s="4" t="s">
        <v>845</v>
      </c>
      <c r="Z49" s="4" t="s">
        <v>846</v>
      </c>
      <c r="AA49" s="4" t="s">
        <v>847</v>
      </c>
      <c r="AB49" s="4" t="s">
        <v>848</v>
      </c>
      <c r="AC49" s="4" t="s">
        <v>849</v>
      </c>
      <c r="AD49" s="4"/>
      <c r="AE49" s="4" t="s">
        <v>67</v>
      </c>
      <c r="AF49" s="9">
        <v>46192</v>
      </c>
      <c r="AG49" s="4" t="s">
        <v>76</v>
      </c>
      <c r="AH49" s="4" t="s">
        <v>77</v>
      </c>
      <c r="AI49" s="4" t="s">
        <v>78</v>
      </c>
      <c r="AJ49" s="4"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5">
      <c r="A50" s="4" t="s">
        <v>850</v>
      </c>
      <c r="B50" s="4" t="s">
        <v>851</v>
      </c>
      <c r="C50" s="4" t="s">
        <v>852</v>
      </c>
      <c r="D50" s="8" t="s">
        <v>853</v>
      </c>
      <c r="E50" s="4" t="s">
        <v>854</v>
      </c>
      <c r="F50" s="4" t="s">
        <v>238</v>
      </c>
      <c r="G50" s="4" t="s">
        <v>238</v>
      </c>
      <c r="H50" s="4" t="s">
        <v>151</v>
      </c>
      <c r="I50" s="4" t="s">
        <v>855</v>
      </c>
      <c r="J50" s="4" t="s">
        <v>856</v>
      </c>
      <c r="K50" s="4" t="s">
        <v>857</v>
      </c>
      <c r="L50" s="4" t="s">
        <v>337</v>
      </c>
      <c r="M50" s="4" t="s">
        <v>858</v>
      </c>
      <c r="N50" s="4" t="s">
        <v>859</v>
      </c>
      <c r="O50" s="4" t="s">
        <v>63</v>
      </c>
      <c r="P50" s="4" t="s">
        <v>307</v>
      </c>
      <c r="Q50" s="4" t="s">
        <v>307</v>
      </c>
      <c r="R50" s="4" t="s">
        <v>67</v>
      </c>
      <c r="S50" s="4" t="s">
        <v>66</v>
      </c>
      <c r="T50" s="4" t="s">
        <v>66</v>
      </c>
      <c r="U50" s="4" t="s">
        <v>860</v>
      </c>
      <c r="V50" s="4" t="s">
        <v>861</v>
      </c>
      <c r="W50" s="4" t="s">
        <v>77</v>
      </c>
      <c r="X50" s="4" t="s">
        <v>57</v>
      </c>
      <c r="Y50" s="4" t="s">
        <v>862</v>
      </c>
      <c r="Z50" s="4" t="s">
        <v>863</v>
      </c>
      <c r="AA50" s="4" t="s">
        <v>864</v>
      </c>
      <c r="AB50" s="4" t="s">
        <v>865</v>
      </c>
      <c r="AC50" s="4" t="s">
        <v>866</v>
      </c>
      <c r="AD50" s="4"/>
      <c r="AE50" s="4" t="s">
        <v>66</v>
      </c>
      <c r="AF50" s="9">
        <v>46192</v>
      </c>
      <c r="AG50" s="4" t="s">
        <v>76</v>
      </c>
      <c r="AH50" s="4" t="s">
        <v>57</v>
      </c>
      <c r="AI50" s="4" t="s">
        <v>78</v>
      </c>
      <c r="AJ50" s="4"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5">
      <c r="A51" s="4" t="s">
        <v>867</v>
      </c>
      <c r="B51" s="4" t="s">
        <v>868</v>
      </c>
      <c r="C51" s="4" t="s">
        <v>869</v>
      </c>
      <c r="D51" s="8" t="s">
        <v>870</v>
      </c>
      <c r="E51" s="4" t="s">
        <v>871</v>
      </c>
      <c r="F51" s="4" t="s">
        <v>238</v>
      </c>
      <c r="G51" s="4" t="s">
        <v>238</v>
      </c>
      <c r="H51" s="4" t="s">
        <v>151</v>
      </c>
      <c r="I51" s="4" t="s">
        <v>872</v>
      </c>
      <c r="J51" s="4" t="s">
        <v>353</v>
      </c>
      <c r="K51" s="4" t="s">
        <v>873</v>
      </c>
      <c r="L51" s="4" t="s">
        <v>337</v>
      </c>
      <c r="M51" s="4" t="s">
        <v>874</v>
      </c>
      <c r="N51" s="4" t="s">
        <v>875</v>
      </c>
      <c r="O51" s="4" t="s">
        <v>63</v>
      </c>
      <c r="P51" s="4" t="s">
        <v>307</v>
      </c>
      <c r="Q51" s="4" t="s">
        <v>307</v>
      </c>
      <c r="R51" s="4" t="s">
        <v>67</v>
      </c>
      <c r="S51" s="4" t="s">
        <v>66</v>
      </c>
      <c r="T51" s="4" t="s">
        <v>67</v>
      </c>
      <c r="U51" s="4" t="s">
        <v>876</v>
      </c>
      <c r="V51" s="4" t="s">
        <v>729</v>
      </c>
      <c r="W51" s="4" t="s">
        <v>77</v>
      </c>
      <c r="X51" s="4" t="s">
        <v>57</v>
      </c>
      <c r="Y51" s="4" t="s">
        <v>877</v>
      </c>
      <c r="Z51" s="4" t="s">
        <v>878</v>
      </c>
      <c r="AA51" s="4" t="s">
        <v>879</v>
      </c>
      <c r="AB51" s="4" t="s">
        <v>880</v>
      </c>
      <c r="AC51" s="4" t="s">
        <v>881</v>
      </c>
      <c r="AD51" s="4"/>
      <c r="AE51" s="4" t="s">
        <v>66</v>
      </c>
      <c r="AF51" s="9">
        <v>46192</v>
      </c>
      <c r="AG51" s="4" t="s">
        <v>76</v>
      </c>
      <c r="AH51" s="4" t="s">
        <v>57</v>
      </c>
      <c r="AI51" s="4" t="s">
        <v>78</v>
      </c>
      <c r="AJ51" s="4" t="str">
        <f>LOWER(_xlfn.SINGLE(_xlfn.TEXTJOIN(" ", TRUE, B51, C51, E51, F51, G51, I51, J51, K51, L51, M51, N51, O51, P51, Q51, X51, Y51, Z51, AA51, AB51, AC51, AD51)))</f>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5">
      <c r="A52" s="4" t="s">
        <v>882</v>
      </c>
      <c r="B52" s="4" t="s">
        <v>883</v>
      </c>
      <c r="C52" s="4" t="s">
        <v>884</v>
      </c>
      <c r="D52" s="8" t="s">
        <v>885</v>
      </c>
      <c r="E52" s="4" t="s">
        <v>886</v>
      </c>
      <c r="F52" s="4" t="s">
        <v>238</v>
      </c>
      <c r="G52" s="4" t="s">
        <v>238</v>
      </c>
      <c r="H52" s="4" t="s">
        <v>151</v>
      </c>
      <c r="I52" s="4" t="s">
        <v>887</v>
      </c>
      <c r="J52" s="4" t="s">
        <v>888</v>
      </c>
      <c r="K52" s="4" t="s">
        <v>889</v>
      </c>
      <c r="L52" s="4" t="s">
        <v>106</v>
      </c>
      <c r="M52" s="4" t="s">
        <v>890</v>
      </c>
      <c r="N52" s="4" t="s">
        <v>891</v>
      </c>
      <c r="O52" s="4" t="s">
        <v>211</v>
      </c>
      <c r="P52" s="4" t="s">
        <v>390</v>
      </c>
      <c r="Q52" s="4" t="s">
        <v>390</v>
      </c>
      <c r="R52" s="4" t="s">
        <v>67</v>
      </c>
      <c r="S52" s="4" t="s">
        <v>66</v>
      </c>
      <c r="T52" s="4" t="s">
        <v>66</v>
      </c>
      <c r="U52" s="4" t="s">
        <v>892</v>
      </c>
      <c r="V52" s="4" t="s">
        <v>109</v>
      </c>
      <c r="W52" s="4" t="s">
        <v>151</v>
      </c>
      <c r="X52" s="4" t="s">
        <v>151</v>
      </c>
      <c r="Y52" s="4" t="s">
        <v>893</v>
      </c>
      <c r="Z52" s="4" t="s">
        <v>894</v>
      </c>
      <c r="AA52" s="4" t="s">
        <v>895</v>
      </c>
      <c r="AB52" s="4" t="s">
        <v>896</v>
      </c>
      <c r="AC52" s="4" t="s">
        <v>897</v>
      </c>
      <c r="AD52" s="4"/>
      <c r="AE52" s="4" t="s">
        <v>75</v>
      </c>
      <c r="AF52" s="9">
        <v>46192</v>
      </c>
      <c r="AG52" s="4" t="s">
        <v>76</v>
      </c>
      <c r="AH52" s="4" t="s">
        <v>151</v>
      </c>
      <c r="AI52" s="4" t="s">
        <v>78</v>
      </c>
      <c r="AJ52" s="4"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5">
      <c r="A53" s="4" t="s">
        <v>898</v>
      </c>
      <c r="B53" s="4" t="s">
        <v>899</v>
      </c>
      <c r="C53" s="4" t="s">
        <v>900</v>
      </c>
      <c r="D53" s="8" t="s">
        <v>901</v>
      </c>
      <c r="E53" s="4" t="s">
        <v>902</v>
      </c>
      <c r="F53" s="4" t="s">
        <v>238</v>
      </c>
      <c r="G53" s="4" t="s">
        <v>238</v>
      </c>
      <c r="H53" s="4" t="s">
        <v>151</v>
      </c>
      <c r="I53" s="4" t="s">
        <v>887</v>
      </c>
      <c r="J53" s="4" t="s">
        <v>903</v>
      </c>
      <c r="K53" s="4" t="s">
        <v>904</v>
      </c>
      <c r="L53" s="4" t="s">
        <v>337</v>
      </c>
      <c r="M53" s="4" t="s">
        <v>905</v>
      </c>
      <c r="N53" s="4" t="s">
        <v>906</v>
      </c>
      <c r="O53" s="4" t="s">
        <v>211</v>
      </c>
      <c r="P53" s="4" t="s">
        <v>390</v>
      </c>
      <c r="Q53" s="4" t="s">
        <v>390</v>
      </c>
      <c r="R53" s="4" t="s">
        <v>67</v>
      </c>
      <c r="S53" s="4" t="s">
        <v>66</v>
      </c>
      <c r="T53" s="4" t="s">
        <v>66</v>
      </c>
      <c r="U53" s="4" t="s">
        <v>907</v>
      </c>
      <c r="V53" s="4" t="s">
        <v>908</v>
      </c>
      <c r="W53" s="4" t="s">
        <v>151</v>
      </c>
      <c r="X53" s="4" t="s">
        <v>151</v>
      </c>
      <c r="Y53" s="4" t="s">
        <v>909</v>
      </c>
      <c r="Z53" s="4" t="s">
        <v>910</v>
      </c>
      <c r="AA53" s="4" t="s">
        <v>911</v>
      </c>
      <c r="AB53" s="4" t="s">
        <v>912</v>
      </c>
      <c r="AC53" s="4" t="s">
        <v>913</v>
      </c>
      <c r="AD53" s="4"/>
      <c r="AE53" s="4" t="s">
        <v>75</v>
      </c>
      <c r="AF53" s="9">
        <v>46192</v>
      </c>
      <c r="AG53" s="4" t="s">
        <v>76</v>
      </c>
      <c r="AH53" s="4" t="s">
        <v>151</v>
      </c>
      <c r="AI53" s="4" t="s">
        <v>78</v>
      </c>
      <c r="AJ53" s="4"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5">
      <c r="A54" s="4" t="s">
        <v>914</v>
      </c>
      <c r="B54" s="4" t="s">
        <v>915</v>
      </c>
      <c r="C54" s="4" t="s">
        <v>916</v>
      </c>
      <c r="D54" s="8" t="s">
        <v>917</v>
      </c>
      <c r="E54" s="4" t="s">
        <v>918</v>
      </c>
      <c r="F54" s="4" t="s">
        <v>919</v>
      </c>
      <c r="G54" s="4" t="s">
        <v>919</v>
      </c>
      <c r="H54" s="4" t="s">
        <v>151</v>
      </c>
      <c r="I54" s="4" t="s">
        <v>887</v>
      </c>
      <c r="J54" s="4" t="s">
        <v>920</v>
      </c>
      <c r="K54" s="4" t="s">
        <v>921</v>
      </c>
      <c r="L54" s="4" t="s">
        <v>106</v>
      </c>
      <c r="M54" s="4" t="s">
        <v>922</v>
      </c>
      <c r="N54" s="4" t="s">
        <v>923</v>
      </c>
      <c r="O54" s="4" t="s">
        <v>211</v>
      </c>
      <c r="P54" s="4" t="s">
        <v>390</v>
      </c>
      <c r="Q54" s="4" t="s">
        <v>390</v>
      </c>
      <c r="R54" s="4" t="s">
        <v>67</v>
      </c>
      <c r="S54" s="4" t="s">
        <v>66</v>
      </c>
      <c r="T54" s="4" t="s">
        <v>66</v>
      </c>
      <c r="U54" s="4" t="s">
        <v>924</v>
      </c>
      <c r="V54" s="4" t="s">
        <v>109</v>
      </c>
      <c r="W54" s="4" t="s">
        <v>151</v>
      </c>
      <c r="X54" s="4" t="s">
        <v>151</v>
      </c>
      <c r="Y54" s="4" t="s">
        <v>925</v>
      </c>
      <c r="Z54" s="4" t="s">
        <v>926</v>
      </c>
      <c r="AA54" s="4" t="s">
        <v>927</v>
      </c>
      <c r="AB54" s="4" t="s">
        <v>928</v>
      </c>
      <c r="AC54" s="4" t="s">
        <v>929</v>
      </c>
      <c r="AD54" s="4"/>
      <c r="AE54" s="4" t="s">
        <v>75</v>
      </c>
      <c r="AF54" s="9">
        <v>46192</v>
      </c>
      <c r="AG54" s="4" t="s">
        <v>76</v>
      </c>
      <c r="AH54" s="4" t="s">
        <v>151</v>
      </c>
      <c r="AI54" s="4" t="s">
        <v>78</v>
      </c>
      <c r="AJ54" s="4"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5">
      <c r="A55" s="4" t="s">
        <v>930</v>
      </c>
      <c r="B55" s="4" t="s">
        <v>931</v>
      </c>
      <c r="C55" s="4" t="s">
        <v>932</v>
      </c>
      <c r="D55" s="4" t="s">
        <v>933</v>
      </c>
      <c r="E55" s="4" t="s">
        <v>934</v>
      </c>
      <c r="F55" s="4" t="s">
        <v>238</v>
      </c>
      <c r="G55" s="4" t="s">
        <v>238</v>
      </c>
      <c r="H55" s="4" t="s">
        <v>151</v>
      </c>
      <c r="I55" s="4" t="s">
        <v>416</v>
      </c>
      <c r="J55" s="4" t="s">
        <v>935</v>
      </c>
      <c r="K55" s="4" t="s">
        <v>936</v>
      </c>
      <c r="L55" s="4" t="s">
        <v>304</v>
      </c>
      <c r="M55" s="4" t="s">
        <v>937</v>
      </c>
      <c r="N55" s="4" t="s">
        <v>938</v>
      </c>
      <c r="O55" s="4" t="s">
        <v>211</v>
      </c>
      <c r="P55" s="4" t="s">
        <v>390</v>
      </c>
      <c r="Q55" s="4" t="s">
        <v>390</v>
      </c>
      <c r="R55" s="4" t="s">
        <v>67</v>
      </c>
      <c r="S55" s="4" t="s">
        <v>66</v>
      </c>
      <c r="T55" s="4" t="s">
        <v>67</v>
      </c>
      <c r="U55" s="4" t="s">
        <v>939</v>
      </c>
      <c r="V55" s="4" t="s">
        <v>244</v>
      </c>
      <c r="W55" s="4" t="s">
        <v>77</v>
      </c>
      <c r="X55" s="4" t="s">
        <v>151</v>
      </c>
      <c r="Y55" s="4" t="s">
        <v>940</v>
      </c>
      <c r="Z55" s="4" t="s">
        <v>941</v>
      </c>
      <c r="AA55" s="4" t="s">
        <v>942</v>
      </c>
      <c r="AB55" s="4" t="s">
        <v>943</v>
      </c>
      <c r="AC55" s="4" t="s">
        <v>944</v>
      </c>
      <c r="AD55" s="4"/>
      <c r="AE55" s="4" t="s">
        <v>67</v>
      </c>
      <c r="AF55" s="9">
        <v>46191</v>
      </c>
      <c r="AG55" s="4" t="s">
        <v>131</v>
      </c>
      <c r="AH55" s="4" t="s">
        <v>151</v>
      </c>
      <c r="AI55" s="4" t="s">
        <v>78</v>
      </c>
      <c r="AJ55" s="4"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4" t="s">
        <v>945</v>
      </c>
      <c r="B56" s="4" t="s">
        <v>946</v>
      </c>
      <c r="C56" s="4" t="s">
        <v>947</v>
      </c>
      <c r="D56" s="4" t="s">
        <v>948</v>
      </c>
      <c r="E56" s="4" t="s">
        <v>949</v>
      </c>
      <c r="F56" s="4" t="s">
        <v>950</v>
      </c>
      <c r="G56" s="4" t="s">
        <v>174</v>
      </c>
      <c r="H56" s="4" t="s">
        <v>77</v>
      </c>
      <c r="I56" s="4" t="s">
        <v>951</v>
      </c>
      <c r="J56" s="4" t="s">
        <v>952</v>
      </c>
      <c r="K56" s="4" t="s">
        <v>953</v>
      </c>
      <c r="L56" s="4" t="s">
        <v>304</v>
      </c>
      <c r="M56" s="4" t="s">
        <v>954</v>
      </c>
      <c r="N56" s="4" t="s">
        <v>955</v>
      </c>
      <c r="O56" s="4" t="s">
        <v>956</v>
      </c>
      <c r="P56" s="4" t="s">
        <v>630</v>
      </c>
      <c r="Q56" s="4" t="s">
        <v>308</v>
      </c>
      <c r="R56" s="4" t="s">
        <v>957</v>
      </c>
      <c r="S56" s="4" t="s">
        <v>66</v>
      </c>
      <c r="T56" s="4" t="s">
        <v>66</v>
      </c>
      <c r="U56" s="4" t="s">
        <v>958</v>
      </c>
      <c r="V56" s="4" t="s">
        <v>958</v>
      </c>
      <c r="W56" s="4" t="s">
        <v>77</v>
      </c>
      <c r="X56" s="4" t="s">
        <v>57</v>
      </c>
      <c r="Y56" s="4" t="s">
        <v>959</v>
      </c>
      <c r="Z56" s="4" t="s">
        <v>960</v>
      </c>
      <c r="AA56" s="4" t="s">
        <v>961</v>
      </c>
      <c r="AB56" s="4" t="s">
        <v>962</v>
      </c>
      <c r="AC56" s="4" t="s">
        <v>963</v>
      </c>
      <c r="AD56" s="4"/>
      <c r="AE56" s="4" t="s">
        <v>66</v>
      </c>
      <c r="AF56" s="9">
        <v>46190</v>
      </c>
      <c r="AG56" s="4" t="s">
        <v>131</v>
      </c>
      <c r="AH56" s="4" t="s">
        <v>57</v>
      </c>
      <c r="AI56" s="4" t="s">
        <v>78</v>
      </c>
      <c r="AJ56" s="4"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5">
      <c r="A57" s="4" t="s">
        <v>964</v>
      </c>
      <c r="B57" s="4" t="s">
        <v>965</v>
      </c>
      <c r="C57" s="4" t="s">
        <v>966</v>
      </c>
      <c r="D57" s="4" t="s">
        <v>967</v>
      </c>
      <c r="E57" s="4" t="s">
        <v>968</v>
      </c>
      <c r="F57" s="4" t="s">
        <v>238</v>
      </c>
      <c r="G57" s="4" t="s">
        <v>469</v>
      </c>
      <c r="H57" s="4" t="s">
        <v>151</v>
      </c>
      <c r="I57" s="4" t="s">
        <v>951</v>
      </c>
      <c r="J57" s="4" t="s">
        <v>969</v>
      </c>
      <c r="K57" s="4" t="s">
        <v>970</v>
      </c>
      <c r="L57" s="4" t="s">
        <v>304</v>
      </c>
      <c r="M57" s="4" t="s">
        <v>971</v>
      </c>
      <c r="N57" s="4" t="s">
        <v>972</v>
      </c>
      <c r="O57" s="4" t="s">
        <v>956</v>
      </c>
      <c r="P57" s="4" t="s">
        <v>614</v>
      </c>
      <c r="Q57" s="4" t="s">
        <v>614</v>
      </c>
      <c r="R57" s="4" t="s">
        <v>67</v>
      </c>
      <c r="S57" s="4" t="s">
        <v>66</v>
      </c>
      <c r="T57" s="4" t="s">
        <v>67</v>
      </c>
      <c r="U57" s="4" t="s">
        <v>973</v>
      </c>
      <c r="V57" s="4" t="s">
        <v>324</v>
      </c>
      <c r="W57" s="4" t="s">
        <v>77</v>
      </c>
      <c r="X57" s="4" t="s">
        <v>57</v>
      </c>
      <c r="Y57" s="4" t="s">
        <v>974</v>
      </c>
      <c r="Z57" s="4" t="s">
        <v>975</v>
      </c>
      <c r="AA57" s="4" t="s">
        <v>976</v>
      </c>
      <c r="AB57" s="4" t="s">
        <v>977</v>
      </c>
      <c r="AC57" s="4" t="s">
        <v>978</v>
      </c>
      <c r="AD57" s="4"/>
      <c r="AE57" s="4" t="s">
        <v>66</v>
      </c>
      <c r="AF57" s="9">
        <v>46190</v>
      </c>
      <c r="AG57" s="4" t="s">
        <v>131</v>
      </c>
      <c r="AH57" s="4" t="s">
        <v>57</v>
      </c>
      <c r="AI57" s="4" t="s">
        <v>78</v>
      </c>
      <c r="AJ57" s="4"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5">
      <c r="A58" s="4" t="s">
        <v>979</v>
      </c>
      <c r="B58" s="4" t="s">
        <v>980</v>
      </c>
      <c r="C58" s="4" t="s">
        <v>981</v>
      </c>
      <c r="D58" s="4" t="s">
        <v>982</v>
      </c>
      <c r="E58" s="4" t="s">
        <v>983</v>
      </c>
      <c r="F58" s="4" t="s">
        <v>238</v>
      </c>
      <c r="G58" s="4" t="s">
        <v>469</v>
      </c>
      <c r="H58" s="4" t="s">
        <v>57</v>
      </c>
      <c r="I58" s="4" t="s">
        <v>450</v>
      </c>
      <c r="J58" s="4" t="s">
        <v>984</v>
      </c>
      <c r="K58" s="4" t="s">
        <v>985</v>
      </c>
      <c r="L58" s="4" t="s">
        <v>304</v>
      </c>
      <c r="M58" s="4" t="s">
        <v>986</v>
      </c>
      <c r="N58" s="4" t="s">
        <v>987</v>
      </c>
      <c r="O58" s="4" t="s">
        <v>956</v>
      </c>
      <c r="P58" s="4" t="s">
        <v>273</v>
      </c>
      <c r="Q58" s="4" t="s">
        <v>308</v>
      </c>
      <c r="R58" s="4" t="s">
        <v>988</v>
      </c>
      <c r="S58" s="4" t="s">
        <v>66</v>
      </c>
      <c r="T58" s="4" t="s">
        <v>143</v>
      </c>
      <c r="U58" s="4" t="s">
        <v>989</v>
      </c>
      <c r="V58" s="4" t="s">
        <v>990</v>
      </c>
      <c r="W58" s="4" t="s">
        <v>151</v>
      </c>
      <c r="X58" s="4" t="s">
        <v>57</v>
      </c>
      <c r="Y58" s="4" t="s">
        <v>991</v>
      </c>
      <c r="Z58" s="4" t="s">
        <v>992</v>
      </c>
      <c r="AA58" s="4" t="s">
        <v>993</v>
      </c>
      <c r="AB58" s="4"/>
      <c r="AC58" s="4" t="s">
        <v>994</v>
      </c>
      <c r="AD58" s="4" t="s">
        <v>995</v>
      </c>
      <c r="AE58" s="4" t="s">
        <v>67</v>
      </c>
      <c r="AF58" s="9">
        <v>46190</v>
      </c>
      <c r="AG58" s="4" t="s">
        <v>131</v>
      </c>
      <c r="AH58" s="4" t="s">
        <v>151</v>
      </c>
      <c r="AI58" s="4" t="s">
        <v>996</v>
      </c>
      <c r="AJ58" s="4"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134.25" customHeight="1">
      <c r="A59" s="4" t="s">
        <v>997</v>
      </c>
      <c r="B59" s="4" t="s">
        <v>998</v>
      </c>
      <c r="C59" s="4" t="s">
        <v>999</v>
      </c>
      <c r="D59" s="4" t="s">
        <v>1000</v>
      </c>
      <c r="E59" s="4" t="s">
        <v>1001</v>
      </c>
      <c r="F59" s="4" t="s">
        <v>238</v>
      </c>
      <c r="G59" s="4" t="s">
        <v>143</v>
      </c>
      <c r="H59" s="4" t="s">
        <v>57</v>
      </c>
      <c r="I59" s="4" t="s">
        <v>450</v>
      </c>
      <c r="J59" s="4" t="s">
        <v>1002</v>
      </c>
      <c r="K59" s="4" t="s">
        <v>1003</v>
      </c>
      <c r="L59" s="4" t="s">
        <v>64</v>
      </c>
      <c r="M59" s="4" t="s">
        <v>1004</v>
      </c>
      <c r="N59" s="4" t="s">
        <v>1005</v>
      </c>
      <c r="O59" s="4" t="s">
        <v>956</v>
      </c>
      <c r="P59" s="4" t="s">
        <v>829</v>
      </c>
      <c r="Q59" s="4" t="s">
        <v>829</v>
      </c>
      <c r="R59" s="4" t="s">
        <v>67</v>
      </c>
      <c r="S59" s="4" t="s">
        <v>66</v>
      </c>
      <c r="T59" s="4" t="s">
        <v>143</v>
      </c>
      <c r="U59" s="4" t="s">
        <v>1006</v>
      </c>
      <c r="V59" s="4" t="s">
        <v>1007</v>
      </c>
      <c r="W59" s="4" t="s">
        <v>143</v>
      </c>
      <c r="X59" s="4" t="s">
        <v>57</v>
      </c>
      <c r="Y59" s="4" t="s">
        <v>1008</v>
      </c>
      <c r="Z59" s="12" t="s">
        <v>1009</v>
      </c>
      <c r="AA59" s="4" t="s">
        <v>1010</v>
      </c>
      <c r="AB59" s="4" t="s">
        <v>1011</v>
      </c>
      <c r="AC59" s="4" t="s">
        <v>1012</v>
      </c>
      <c r="AD59" s="4"/>
      <c r="AE59" s="4" t="s">
        <v>67</v>
      </c>
      <c r="AF59" s="9">
        <v>46190</v>
      </c>
      <c r="AG59" s="4" t="s">
        <v>131</v>
      </c>
      <c r="AH59" s="4" t="s">
        <v>151</v>
      </c>
      <c r="AI59" s="4" t="s">
        <v>996</v>
      </c>
      <c r="AJ59" s="4"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ht="28.5">
      <c r="A60" s="4" t="s">
        <v>1839</v>
      </c>
      <c r="B60" s="14" t="s">
        <v>1281</v>
      </c>
      <c r="C60" s="4"/>
      <c r="D60" s="4" t="s">
        <v>1325</v>
      </c>
      <c r="E60" s="4"/>
      <c r="F60" s="4" t="s">
        <v>238</v>
      </c>
      <c r="G60" s="4"/>
      <c r="H60" s="4"/>
      <c r="I60" s="4"/>
      <c r="J60" s="4"/>
      <c r="K60" s="4"/>
      <c r="L60" s="4"/>
      <c r="M60" s="4"/>
      <c r="N60" s="4"/>
      <c r="O60" s="4"/>
      <c r="P60" s="4"/>
      <c r="Q60" s="4"/>
      <c r="R60" s="4"/>
      <c r="S60" s="4"/>
      <c r="T60" s="4"/>
      <c r="U60" s="4"/>
      <c r="V60" s="4"/>
      <c r="W60" s="4"/>
      <c r="X60" s="4"/>
      <c r="Y60" s="4"/>
      <c r="Z60" s="12"/>
      <c r="AA60" s="4"/>
      <c r="AB60" s="4"/>
      <c r="AC60" s="4"/>
      <c r="AD60" s="4"/>
      <c r="AE60" s="4"/>
      <c r="AF60" s="9"/>
      <c r="AG60" s="4"/>
      <c r="AH60" s="4"/>
      <c r="AI60" s="4"/>
      <c r="AJ60" s="4" t="str">
        <f>LOWER(_xlfn.SINGLE(_xlfn.TEXTJOIN(" ", TRUE, B60, C60, E60, F60, G60, I60, J60, K60, L60, M60, N60, O60, P60, Q60, X60, Y60, Z60, AA60, AB60, AC60, AD60)))</f>
        <v>cdc ephtrackr r package / tracking api open/public</v>
      </c>
    </row>
    <row r="61" spans="1:36" ht="42.75">
      <c r="A61" s="4" t="s">
        <v>1840</v>
      </c>
      <c r="B61" s="4" t="s">
        <v>1282</v>
      </c>
      <c r="C61" s="4"/>
      <c r="D61" s="4" t="s">
        <v>1326</v>
      </c>
      <c r="E61" s="4"/>
      <c r="F61" s="4" t="s">
        <v>238</v>
      </c>
      <c r="G61" s="4"/>
      <c r="H61" s="4"/>
      <c r="I61" s="4"/>
      <c r="J61" s="4"/>
      <c r="K61" s="4"/>
      <c r="L61" s="4"/>
      <c r="M61" s="4"/>
      <c r="N61" s="4"/>
      <c r="O61" s="4"/>
      <c r="P61" s="4"/>
      <c r="Q61" s="4"/>
      <c r="R61" s="4"/>
      <c r="S61" s="4"/>
      <c r="T61" s="4"/>
      <c r="U61" s="4"/>
      <c r="V61" s="4"/>
      <c r="W61" s="4"/>
      <c r="X61" s="4"/>
      <c r="Y61" s="4"/>
      <c r="Z61" s="12"/>
      <c r="AA61" s="4"/>
      <c r="AB61" s="4"/>
      <c r="AC61" s="4"/>
      <c r="AD61" s="4"/>
      <c r="AE61" s="4"/>
      <c r="AF61" s="9"/>
      <c r="AG61" s="4"/>
      <c r="AH61" s="4"/>
      <c r="AI61" s="4"/>
      <c r="AJ61" s="4" t="str">
        <f>LOWER(_xlfn.SINGLE(_xlfn.TEXTJOIN(" ", TRUE, B61, C61, E61, F61, G61, I61, J61, K61, L61, M61, N61, O61, P61, Q61, X61, Y61, Z61, AA61, AB61, AC61, AD61)))</f>
        <v>daily census tract-level pm2.5 concentrations, 2016-2020 open/public</v>
      </c>
    </row>
    <row r="62" spans="1:36" ht="42.75">
      <c r="A62" s="4" t="s">
        <v>1841</v>
      </c>
      <c r="B62" s="13" t="s">
        <v>1286</v>
      </c>
      <c r="C62" s="7"/>
      <c r="D62" s="15" t="s">
        <v>1328</v>
      </c>
      <c r="E62" s="13" t="s">
        <v>1327</v>
      </c>
      <c r="F62" s="7" t="s">
        <v>238</v>
      </c>
      <c r="G62" s="7"/>
      <c r="H62" s="7"/>
      <c r="I62" s="7"/>
      <c r="J62" s="7"/>
      <c r="K62" s="7"/>
      <c r="L62" s="7"/>
      <c r="M62" s="7"/>
      <c r="N62" s="7"/>
      <c r="O62" s="7"/>
      <c r="Q62" s="7"/>
      <c r="R62" s="7"/>
      <c r="S62" s="7"/>
      <c r="T62" s="7"/>
      <c r="U62" s="7"/>
      <c r="V62" s="7"/>
      <c r="W62" s="7"/>
      <c r="X62" s="7"/>
      <c r="Y62" s="7"/>
      <c r="Z62" s="7"/>
      <c r="AA62" s="7"/>
      <c r="AB62" s="7"/>
      <c r="AC62" s="7"/>
      <c r="AD62" s="7"/>
      <c r="AE62" s="7"/>
      <c r="AF62" s="7"/>
      <c r="AG62" s="7"/>
      <c r="AH62" s="7"/>
      <c r="AI62" s="7"/>
      <c r="AJ62" s="7" t="str">
        <f t="shared" ref="AJ62:AJ96" si="2">LOWER(_xlfn.SINGLE(_xlfn.TEXTJOIN(" ", TRUE, B62, C62, E62, F62, G62, I62, J62, K62, L62, M62, N62, O62, P62, Q62, X62, Y62, Z62, AA62, AB62, AC62, AD62)))</f>
        <v>epa enviroatlas geospatial environmental, demographic, ecosystem services, land cover, green space, heat, and community indicators. open/public</v>
      </c>
    </row>
    <row r="63" spans="1:36" ht="111" customHeight="1">
      <c r="A63" s="4" t="s">
        <v>1842</v>
      </c>
      <c r="B63" s="14" t="s">
        <v>1283</v>
      </c>
      <c r="C63" s="7" t="s">
        <v>1315</v>
      </c>
      <c r="D63" s="7"/>
      <c r="E63" s="14" t="s">
        <v>1329</v>
      </c>
      <c r="F63" s="4" t="s">
        <v>238</v>
      </c>
      <c r="G63" s="7" t="s">
        <v>238</v>
      </c>
      <c r="H63" s="7" t="s">
        <v>151</v>
      </c>
      <c r="I63" s="7" t="s">
        <v>824</v>
      </c>
      <c r="J63" s="4" t="s">
        <v>1330</v>
      </c>
      <c r="K63" s="4" t="s">
        <v>1331</v>
      </c>
      <c r="L63" s="7" t="s">
        <v>809</v>
      </c>
      <c r="M63" s="4" t="s">
        <v>1332</v>
      </c>
      <c r="N63" s="4" t="s">
        <v>1333</v>
      </c>
      <c r="O63" s="7" t="s">
        <v>63</v>
      </c>
      <c r="P63" s="7" t="s">
        <v>307</v>
      </c>
      <c r="Q63" s="7" t="s">
        <v>307</v>
      </c>
      <c r="R63" s="7" t="s">
        <v>67</v>
      </c>
      <c r="S63" s="7" t="s">
        <v>66</v>
      </c>
      <c r="T63" s="7" t="s">
        <v>66</v>
      </c>
      <c r="U63" s="4" t="s">
        <v>1334</v>
      </c>
      <c r="V63" s="4" t="s">
        <v>1335</v>
      </c>
      <c r="W63" s="7" t="s">
        <v>57</v>
      </c>
      <c r="X63" s="7" t="s">
        <v>57</v>
      </c>
      <c r="Y63" s="4" t="s">
        <v>1336</v>
      </c>
      <c r="Z63" s="4" t="s">
        <v>1337</v>
      </c>
      <c r="AA63" s="4" t="s">
        <v>1338</v>
      </c>
      <c r="AB63" s="4" t="s">
        <v>1339</v>
      </c>
      <c r="AC63" s="4" t="s">
        <v>1340</v>
      </c>
      <c r="AD63" s="4"/>
      <c r="AE63" s="7" t="s">
        <v>75</v>
      </c>
      <c r="AF63" s="17">
        <v>46223</v>
      </c>
      <c r="AG63" s="7" t="s">
        <v>131</v>
      </c>
      <c r="AH63" s="7" t="s">
        <v>77</v>
      </c>
      <c r="AI63" s="7" t="s">
        <v>78</v>
      </c>
      <c r="AJ63" s="4" t="str">
        <f t="shared" si="2"/>
        <v>cdc wonder environmental data cdc / github environmental data query system with place, time, and measure dimensions. open/public open/public environmental exposure sdoh/geospatial; climate; air quality; environmental monitoring; area-level data; historical data 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 environmental air temperature; heat index; extreme heat; heat waves; pm2.5; outdoor air quality; land surface temperature; sunlight; solar irradiation; precipitation residents of the 48 contiguous united states, represented through county-level environmental exposure measures united states county county high daily air temperature; minimum and maximum temperature; heat index; degree days; pm2.5 concentration; land surface temperature; sunlight/solar irradiation; precipitation; heat-wave days; date; state; county; number of observations; range; standard deviation 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 cdc wonder mortality and natality data; cdc environmental public health tracking network; epa air quality system/airdata; epa enviroatlas; noaa climate data; u.s. census population estimates; american community survey; cdc/atsdr social vulnerability index 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 public aggregate data for statistical reporting and analysis; users must accept cdc wonder data-use restrictions; do not attempt to identify individuals or link data for re-identification; cite the relevant source dataset and methodology when publishing results.</v>
      </c>
    </row>
    <row r="64" spans="1:36">
      <c r="A64" s="4" t="s">
        <v>1843</v>
      </c>
      <c r="B64" s="13" t="s">
        <v>1284</v>
      </c>
      <c r="C64" s="7" t="s">
        <v>1316</v>
      </c>
      <c r="D64" s="7"/>
      <c r="E64" s="7" t="s">
        <v>1341</v>
      </c>
      <c r="F64" s="7" t="s">
        <v>1342</v>
      </c>
      <c r="G64" s="7" t="s">
        <v>238</v>
      </c>
      <c r="H64" s="7" t="s">
        <v>151</v>
      </c>
      <c r="I64" s="7" t="s">
        <v>824</v>
      </c>
      <c r="J64" t="s">
        <v>1343</v>
      </c>
      <c r="K64" t="s">
        <v>1344</v>
      </c>
      <c r="L64" t="s">
        <v>304</v>
      </c>
      <c r="M64" t="s">
        <v>1345</v>
      </c>
      <c r="N64" t="s">
        <v>1346</v>
      </c>
      <c r="O64" s="7" t="s">
        <v>63</v>
      </c>
      <c r="P64" s="7" t="s">
        <v>1347</v>
      </c>
      <c r="Q64" s="7" t="s">
        <v>307</v>
      </c>
      <c r="R64" s="7" t="s">
        <v>67</v>
      </c>
      <c r="S64" s="7" t="s">
        <v>66</v>
      </c>
      <c r="T64" s="7" t="s">
        <v>66</v>
      </c>
      <c r="U64" s="7" t="s">
        <v>1348</v>
      </c>
      <c r="V64" s="7" t="s">
        <v>1349</v>
      </c>
      <c r="W64" s="7" t="s">
        <v>57</v>
      </c>
      <c r="X64" s="7" t="s">
        <v>57</v>
      </c>
      <c r="Y64" s="7" t="s">
        <v>1350</v>
      </c>
      <c r="Z64" s="7" t="s">
        <v>1351</v>
      </c>
      <c r="AA64" s="7" t="s">
        <v>1352</v>
      </c>
      <c r="AB64" s="7" t="s">
        <v>1353</v>
      </c>
      <c r="AC64" s="7" t="s">
        <v>1354</v>
      </c>
      <c r="AD64" s="7"/>
      <c r="AE64" s="7" t="s">
        <v>66</v>
      </c>
      <c r="AF64" s="17">
        <v>46223</v>
      </c>
      <c r="AG64" s="7" t="s">
        <v>131</v>
      </c>
      <c r="AH64" s="7" t="s">
        <v>57</v>
      </c>
      <c r="AI64" s="7" t="s">
        <v>78</v>
      </c>
      <c r="AJ64" s="7" t="str">
        <f t="shared" si="2"/>
        <v>cdc heat and health tracker cdc tracking network interactive dashboard integrating local heat exposure, heat-related health outcomes, community vulnerability, and preparedness information to support extreme-heat surveillance, planning, and response. public interactive dashboard; related tracking network data may also be accessed through maps, tables, quick reports, downloads, and api services. open/public environmental exposure climate; extreme heat; heat-related illness; sdoh/geospatial; emergency preparedness; environmental health surveillance; community vulnerability; area-level data 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 reports/dashboard extreme heat; heat exposure; temperature; heat index; heatrisk forecasts; heat-related emergency department visits; heat-related hospitalizations; heat-related mortality; heat vulnerability; climate projections; community preparedness residents of the united states, including populations vulnerable to heat-related health effects such as older adults, young children, pregnant people, outdoor workers, athletes, and people with chronic health conditions. united states county/zip code/hhs region, depending on indicator county high 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 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 cdc environmental public health tracking network; national syndromic surveillance program; national weather service heatrisk; cdc heat and health index; cdc/atsdr social vulnerability index; noaa climate data; american community survey; cdc wonder mortality data; epa airnow 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 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v>
      </c>
    </row>
    <row r="65" spans="1:36" ht="28.5">
      <c r="A65" s="4" t="s">
        <v>1844</v>
      </c>
      <c r="B65" s="14" t="s">
        <v>1285</v>
      </c>
      <c r="C65" s="7" t="s">
        <v>298</v>
      </c>
      <c r="D65" s="11" t="s">
        <v>1355</v>
      </c>
      <c r="E65" s="7" t="s">
        <v>1356</v>
      </c>
      <c r="F65" s="7" t="s">
        <v>1357</v>
      </c>
      <c r="G65" s="7" t="s">
        <v>238</v>
      </c>
      <c r="H65" s="7" t="s">
        <v>151</v>
      </c>
      <c r="I65" s="7" t="s">
        <v>353</v>
      </c>
      <c r="J65" s="7" t="s">
        <v>1358</v>
      </c>
      <c r="K65" s="7" t="s">
        <v>1359</v>
      </c>
      <c r="L65" s="7" t="s">
        <v>337</v>
      </c>
      <c r="M65" s="7" t="s">
        <v>1360</v>
      </c>
      <c r="N65" s="7" t="s">
        <v>1361</v>
      </c>
      <c r="O65" s="7" t="s">
        <v>63</v>
      </c>
      <c r="P65" s="7" t="s">
        <v>340</v>
      </c>
      <c r="Q65" s="7" t="s">
        <v>341</v>
      </c>
      <c r="R65" s="7" t="s">
        <v>67</v>
      </c>
      <c r="S65" s="7" t="s">
        <v>66</v>
      </c>
      <c r="T65" s="7" t="s">
        <v>67</v>
      </c>
      <c r="U65" s="7" t="s">
        <v>1362</v>
      </c>
      <c r="V65" s="7" t="s">
        <v>1363</v>
      </c>
      <c r="W65" s="7" t="s">
        <v>57</v>
      </c>
      <c r="X65" s="7" t="s">
        <v>57</v>
      </c>
      <c r="Y65" s="7" t="s">
        <v>1364</v>
      </c>
      <c r="Z65" s="7" t="s">
        <v>1365</v>
      </c>
      <c r="AA65" s="7" t="s">
        <v>1366</v>
      </c>
      <c r="AB65" s="7" t="s">
        <v>1367</v>
      </c>
      <c r="AC65" s="7" t="s">
        <v>1368</v>
      </c>
      <c r="AD65" s="7"/>
      <c r="AE65" s="7" t="s">
        <v>66</v>
      </c>
      <c r="AF65" s="17">
        <v>46223</v>
      </c>
      <c r="AG65" s="7" t="s">
        <v>1369</v>
      </c>
      <c r="AH65" s="7" t="s">
        <v>57</v>
      </c>
      <c r="AI65" s="7" t="s">
        <v>78</v>
      </c>
      <c r="AJ65" s="7" t="str">
        <f>LOWER(_xlfn.SINGLE(_xlfn.TEXTJOIN(" ", TRUE, B65, C65, E65, F65, G65, I65, J65, K65, L65, M65, N65, O65, P65, Q65, X65, Y65, Z65, AA65, AB65, AC65, AD65)))</f>
        <v>cdc/atsdr environmental justice index (eji) cdc wonder national census-tract-level index for identifying communities experiencing cumulative environmental, social, and health burdens and supporting environmental justice, health equity, resource allocation, and place-based public health research. public interactive map and downloadable census-tract data in csv, excel, and geodatabase formats open/public sdoh/geospatial environmental exposure; health equity; environmental justice; social vulnerability; community vulnerability; climate; built environment; area-level data; health disparities 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 geospatial/area-level 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 residents of census tracts in the continental united states, represented through community-level environmental, social, health, and climate indicators united states census tract census tract high 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 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 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 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 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v>
      </c>
    </row>
    <row r="66" spans="1:36">
      <c r="A66" s="4" t="s">
        <v>1845</v>
      </c>
      <c r="B66" s="13" t="s">
        <v>1286</v>
      </c>
      <c r="C66" s="7" t="s">
        <v>1314</v>
      </c>
      <c r="D66" s="7"/>
      <c r="E66" s="7"/>
      <c r="F66" s="7"/>
      <c r="G66" s="7"/>
      <c r="I66" s="7"/>
      <c r="J66" s="7"/>
      <c r="K66" s="7"/>
      <c r="L66" s="7"/>
      <c r="M66" s="7"/>
      <c r="N66" s="7"/>
      <c r="O66" s="7"/>
      <c r="Q66" s="7"/>
      <c r="R66" s="7"/>
      <c r="S66" s="7"/>
      <c r="T66" s="7"/>
      <c r="U66" s="7"/>
      <c r="V66" s="7"/>
      <c r="W66" s="7"/>
      <c r="X66" s="7"/>
      <c r="Y66" s="7"/>
      <c r="Z66" s="7"/>
      <c r="AA66" s="7"/>
      <c r="AB66" s="7"/>
      <c r="AC66" s="7"/>
      <c r="AD66" s="7"/>
      <c r="AE66" s="7"/>
      <c r="AF66" s="7"/>
      <c r="AG66" s="7"/>
      <c r="AH66" s="7"/>
      <c r="AI66" s="7"/>
      <c r="AJ66" s="7" t="str">
        <f>LOWER(_xlfn.SINGLE(_xlfn.TEXTJOIN(" ", TRUE, B66, C66, E66, F66, G66, I66, J66, K66, L66, M66, N66, O66, P66, Q66, X66, Y66, Z66, AA66, AB66, AC66, AD66)))</f>
        <v>epa enviroatlas cdc</v>
      </c>
    </row>
    <row r="67" spans="1:36" ht="15.75">
      <c r="A67" s="4" t="s">
        <v>1846</v>
      </c>
      <c r="B67" s="14" t="s">
        <v>1287</v>
      </c>
      <c r="C67" s="7"/>
      <c r="D67" s="7"/>
      <c r="E67" s="7" t="s">
        <v>1374</v>
      </c>
      <c r="F67" s="7" t="s">
        <v>1375</v>
      </c>
      <c r="G67" s="7" t="s">
        <v>238</v>
      </c>
      <c r="H67" s="7" t="s">
        <v>151</v>
      </c>
      <c r="I67" s="7" t="s">
        <v>824</v>
      </c>
      <c r="J67" s="7" t="s">
        <v>1376</v>
      </c>
      <c r="K67" s="7" t="s">
        <v>1377</v>
      </c>
      <c r="L67" s="7" t="s">
        <v>337</v>
      </c>
      <c r="M67" s="7" t="s">
        <v>1378</v>
      </c>
      <c r="N67" s="7" t="s">
        <v>1379</v>
      </c>
      <c r="O67" s="7" t="s">
        <v>63</v>
      </c>
      <c r="P67" s="16" t="s">
        <v>1370</v>
      </c>
      <c r="Q67" s="7" t="s">
        <v>64</v>
      </c>
      <c r="R67" s="7" t="s">
        <v>67</v>
      </c>
      <c r="S67" s="7" t="s">
        <v>66</v>
      </c>
      <c r="T67" s="7" t="s">
        <v>67</v>
      </c>
      <c r="U67" s="16" t="s">
        <v>1371</v>
      </c>
      <c r="V67" s="7" t="s">
        <v>437</v>
      </c>
      <c r="W67" s="7" t="s">
        <v>57</v>
      </c>
      <c r="X67" s="7" t="s">
        <v>57</v>
      </c>
      <c r="Y67" s="7" t="s">
        <v>1372</v>
      </c>
      <c r="Z67" s="7" t="s">
        <v>1380</v>
      </c>
      <c r="AA67" s="7" t="s">
        <v>1381</v>
      </c>
      <c r="AB67" s="7" t="s">
        <v>1373</v>
      </c>
      <c r="AC67" s="7" t="s">
        <v>1382</v>
      </c>
      <c r="AD67" s="7"/>
      <c r="AE67" s="7" t="s">
        <v>66</v>
      </c>
      <c r="AF67" s="17">
        <v>46223</v>
      </c>
      <c r="AG67" s="7" t="s">
        <v>131</v>
      </c>
      <c r="AH67" s="7" t="s">
        <v>57</v>
      </c>
      <c r="AI67" s="7" t="s">
        <v>78</v>
      </c>
      <c r="AJ67" s="7" t="str">
        <f t="shared" si="2"/>
        <v>epa ejscreen environmental justice screening and mapping tool combining nationally consistent environmental burden, socioeconomic, demographic, health-disparity, climate, and service-gap indicators to identify communities that may warrant additional analysis, outreach, or public-health attention. public mapping and screening tool with publicly available technical documentation and area-level results; availability of the original interactive application and bulk downloads should be verified for the intended analysis. open/public environmental exposure sdoh/geospatial; environmental justice; social vulnerability; health equity; air pollution; hazardous sites; drinking water; built environment; health disparities; climate; area-level data epa ejscreen; ejscreen; environmental justice; ej index; supplemental index; demographic index; environmental burden; pollution burden; socioeconomic vulnerability; census block group; pm2.5; ozone; nitrogen dioxide; diesel particulate matter; toxic releases; traffic proximity; lead paint; superfund; hazardous waste; rmp facilities; underground storage tanks; wastewater discharge; drinking water non-compliance; health disparities; climate change; critical service gaps; hiv disparities geospatial/area-level environmental justice; pm2.5; ozone; nitrogen dioxide; diesel particulate matter; toxic releases to air; traffic exposure; lead-paint exposure; superfund sites; chemical-accident facilities; hazardous-waste facilities; underground storage tanks; wastewater pollution; drinking-water non-compliance; socioeconomic vulnerability; health disparities; climate hazards; service gaps residents of the united states and included u.s. territories, represented through community-level environmental, socioeconomic, demographic, and health indicators united states census block group other high pm2.5; ozone; nitrogen dioxide; diesel particulate matter; toxic releases to air; traffic proximity and volume; lead-paint proxy; superfund proximity; risk management plan facility proximity; hazardous-waste proximity; underground and leaking underground storage tanks; wastewater discharge; drinking-water non-compliance; demographic index; supplemental demographic index; ej index percentiles; supplemental index percentiles; state and national percentiles identify communities with elevated environmental and socioeconomic burdens; characterize neighborhood context for hiv diagnoses and care outcomes; examine geographic disparities in testing, linkage to care, retention, and viral suppression; prioritize outreach, mobile services, prevention, and community engagement; assess environmental burden near health-service locations; compare south carolina communities using state and national percentiles; generate hypotheses for detailed exposure or health-equity studies cdc/atsdr environmental justice index; cdc/atsdr social vulnerability index; american community survey; epa airdata/aqs; epa toxics release inventory; epa envirofacts; epa superfund data; cdc places; nchhstp atlasplus; aidsvu; cdc national hiv surveillance system; ryan white hiv/aids program data; south carolina hiv surveillance data; census tiger/line shapefiles screening-level tool rather than a risk assessment or designation of an environmental justice community. percentiles are relative rankings and do not establish health or legal thresholds. some block-group values are inherited or modeled from tract-level or gridded source data. proximity scores are population-weighted proxies based on inverse distance and do not represent measured individual exposure. source years and methods vary by indicator. high percentiles indicate relative rarity, not necessarily elevated health risk. public aggregate area-level information with no identifiable individual records. linking ejscreen to geocoded hiv surveillance, clinical, or ryan white data requires compliance with the confidentiality, suppression, irb, and data-use requirements of the health dataset. avoid publishing small-area hiv results that could permit indirect identification. do not assign block-group characteristics to individuals as though they were personally measured exposures or attributes.</v>
      </c>
    </row>
    <row r="68" spans="1:36">
      <c r="A68" s="4" t="s">
        <v>1847</v>
      </c>
      <c r="B68" s="13" t="s">
        <v>1288</v>
      </c>
      <c r="C68" s="7" t="s">
        <v>1317</v>
      </c>
      <c r="D68" s="7"/>
      <c r="E68" s="7" t="s">
        <v>1383</v>
      </c>
      <c r="F68" s="7" t="s">
        <v>1384</v>
      </c>
      <c r="G68" s="7" t="s">
        <v>238</v>
      </c>
      <c r="H68" s="7" t="s">
        <v>151</v>
      </c>
      <c r="I68" s="7" t="s">
        <v>824</v>
      </c>
      <c r="J68" s="7" t="s">
        <v>1385</v>
      </c>
      <c r="K68" s="7" t="s">
        <v>1386</v>
      </c>
      <c r="L68" s="7" t="s">
        <v>809</v>
      </c>
      <c r="M68" s="7" t="s">
        <v>1387</v>
      </c>
      <c r="N68" s="7" t="s">
        <v>1388</v>
      </c>
      <c r="O68" s="7" t="s">
        <v>63</v>
      </c>
      <c r="P68" s="7" t="s">
        <v>1389</v>
      </c>
      <c r="Q68" s="7" t="s">
        <v>64</v>
      </c>
      <c r="R68" s="7" t="s">
        <v>67</v>
      </c>
      <c r="S68" s="7" t="s">
        <v>66</v>
      </c>
      <c r="T68" s="7" t="s">
        <v>66</v>
      </c>
      <c r="U68" s="7" t="s">
        <v>1390</v>
      </c>
      <c r="V68" s="7" t="s">
        <v>1391</v>
      </c>
      <c r="W68" s="7" t="s">
        <v>57</v>
      </c>
      <c r="X68" s="7" t="s">
        <v>57</v>
      </c>
      <c r="Y68" t="s">
        <v>1392</v>
      </c>
      <c r="Z68" s="7" t="s">
        <v>1393</v>
      </c>
      <c r="AA68" s="7" t="s">
        <v>1394</v>
      </c>
      <c r="AB68" s="7" t="s">
        <v>1395</v>
      </c>
      <c r="AC68" s="7" t="s">
        <v>1396</v>
      </c>
      <c r="AD68" s="7"/>
      <c r="AE68" s="7" t="s">
        <v>66</v>
      </c>
      <c r="AF68" s="17">
        <v>46223</v>
      </c>
      <c r="AG68" s="7" t="s">
        <v>131</v>
      </c>
      <c r="AH68" s="7" t="s">
        <v>57</v>
      </c>
      <c r="AI68" s="7" t="s">
        <v>78</v>
      </c>
      <c r="AJ68" s="7" t="str">
        <f t="shared" si="2"/>
        <v>epa airdata epa public portal for downloading, querying, mapping, visualizing, and summarizing recent and historical ambient air-quality measurements collected at outdoor monitoring sites across the united states. public web reports, visualizations, maps, downloadable files, and api access; an api key is required for customized aqs api queries. open/public environmental exposure air quality; environmental monitoring; sdoh/geospatial; ambient air pollution; exposure assessment; regulatory monitoring; area-level data; time-series data 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 environmental ambient air quality; pm2.5; pm10; ozone; nitrogen dioxide; sulfur dioxide; carbon monoxide; lead; air toxics; hazardous air pollutants; particle speciation; air quality index; meteorology; regulatory monitoring residents and populations living near covered outdoor air-monitoring locations in the united states, puerto rico, and the u.s. virgin islands united states monitoring site; county; city/cbsa; state other high 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 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 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 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 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v>
      </c>
    </row>
    <row r="69" spans="1:36">
      <c r="A69" s="4" t="s">
        <v>1848</v>
      </c>
      <c r="B69" s="14" t="s">
        <v>1289</v>
      </c>
      <c r="C69" s="7" t="s">
        <v>1318</v>
      </c>
      <c r="D69" s="7" t="s">
        <v>1398</v>
      </c>
      <c r="E69" t="s">
        <v>1397</v>
      </c>
      <c r="F69" s="7" t="s">
        <v>1398</v>
      </c>
      <c r="G69" s="7" t="s">
        <v>1398</v>
      </c>
      <c r="H69" s="7" t="s">
        <v>1398</v>
      </c>
      <c r="I69" s="7" t="s">
        <v>1398</v>
      </c>
      <c r="J69" s="7"/>
      <c r="K69" s="7"/>
      <c r="L69" s="7"/>
      <c r="M69" s="7"/>
      <c r="N69" s="7"/>
      <c r="O69" s="7"/>
      <c r="Q69" s="7"/>
      <c r="R69" s="7"/>
      <c r="S69" s="7"/>
      <c r="T69" s="7"/>
      <c r="U69" s="7"/>
      <c r="V69" s="7"/>
      <c r="W69" s="7"/>
      <c r="X69" s="7"/>
      <c r="Y69" s="7"/>
      <c r="Z69" s="7"/>
      <c r="AA69" s="7"/>
      <c r="AB69" s="7"/>
      <c r="AC69" s="7"/>
      <c r="AD69" s="7"/>
      <c r="AE69" s="7" t="s">
        <v>67</v>
      </c>
      <c r="AF69" s="17">
        <v>46223</v>
      </c>
      <c r="AG69" s="7" t="s">
        <v>131</v>
      </c>
      <c r="AH69" s="7" t="s">
        <v>151</v>
      </c>
      <c r="AI69" s="7" t="s">
        <v>1095</v>
      </c>
      <c r="AJ69" s="7" t="str">
        <f t="shared" si="2"/>
        <v>epa aqs api epa / arcgis / data.gov programmatic access method for customized retrieval of data from epa’s air quality system, the same underlying monitoring repository represented by epa airdata. same as epa airdata same as epa airdata same as epa airdata</v>
      </c>
    </row>
    <row r="70" spans="1:36">
      <c r="A70" s="4" t="s">
        <v>1849</v>
      </c>
      <c r="B70" s="13" t="s">
        <v>1290</v>
      </c>
      <c r="C70" s="7" t="s">
        <v>1317</v>
      </c>
      <c r="D70" s="7"/>
      <c r="E70" s="7" t="s">
        <v>1399</v>
      </c>
      <c r="F70" s="7" t="s">
        <v>1400</v>
      </c>
      <c r="G70" s="7" t="s">
        <v>238</v>
      </c>
      <c r="H70" s="7" t="s">
        <v>151</v>
      </c>
      <c r="I70" s="7" t="s">
        <v>824</v>
      </c>
      <c r="J70" s="7" t="s">
        <v>1401</v>
      </c>
      <c r="K70" s="7" t="s">
        <v>1402</v>
      </c>
      <c r="L70" s="7" t="s">
        <v>809</v>
      </c>
      <c r="M70" s="7" t="s">
        <v>1403</v>
      </c>
      <c r="N70" s="7" t="s">
        <v>1404</v>
      </c>
      <c r="O70" s="7" t="s">
        <v>63</v>
      </c>
      <c r="P70" s="7" t="s">
        <v>1405</v>
      </c>
      <c r="Q70" s="7" t="s">
        <v>64</v>
      </c>
      <c r="R70" s="7" t="s">
        <v>67</v>
      </c>
      <c r="S70" s="7" t="s">
        <v>66</v>
      </c>
      <c r="T70" s="7" t="s">
        <v>67</v>
      </c>
      <c r="U70" s="7" t="s">
        <v>1406</v>
      </c>
      <c r="V70" s="7" t="s">
        <v>1407</v>
      </c>
      <c r="W70" s="7" t="s">
        <v>57</v>
      </c>
      <c r="X70" s="7" t="s">
        <v>57</v>
      </c>
      <c r="Y70" s="7" t="s">
        <v>1408</v>
      </c>
      <c r="Z70" s="7" t="s">
        <v>1409</v>
      </c>
      <c r="AA70" s="7" t="s">
        <v>1410</v>
      </c>
      <c r="AB70" s="7" t="s">
        <v>1411</v>
      </c>
      <c r="AC70" s="7" t="s">
        <v>1412</v>
      </c>
      <c r="AD70" s="7"/>
      <c r="AE70" s="7" t="s">
        <v>75</v>
      </c>
      <c r="AF70" s="17">
        <v>46223</v>
      </c>
      <c r="AG70" s="7" t="s">
        <v>131</v>
      </c>
      <c r="AH70" s="7" t="s">
        <v>77</v>
      </c>
      <c r="AI70" s="7" t="s">
        <v>78</v>
      </c>
      <c r="AJ70" s="7" t="str">
        <f t="shared" si="2"/>
        <v>epa airtoxscreen epa national screening assessment that models ambient concentrations, population exposures, lifetime cancer risks, and chronic noncancer hazards associated with hazardous air pollutants to help identify pollutants, emission sources, and locations that may warrant further study. public website, mapping tool, technical documentation, and downloadable national and state-level assessment files open/public environmental exposure air quality; air toxics; hazardous air pollutants; exposure modeling; cancer risk; health risk screening; environmental justice; sdoh/geospatial; area-level data 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 environmental hazardous air pollutants; air toxics; ambient concentrations; inhalation exposure; lifetime cancer risk; respiratory noncancer hazards; point-source emissions; mobile-source emissions; nonpoint emissions; wildfire and fire emissions; background pollution; environmental health disparities residents of the united states, represented through modeled population exposure to outdoor hazardous air pollutants at small-area geographic levels united states census block; census tract; county; state, depending on assessment year and output other high 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 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 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 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 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v>
      </c>
    </row>
    <row r="71" spans="1:36" ht="28.5">
      <c r="A71" s="4" t="s">
        <v>1850</v>
      </c>
      <c r="B71" s="14" t="s">
        <v>1291</v>
      </c>
      <c r="C71" s="7" t="s">
        <v>1317</v>
      </c>
      <c r="D71" s="15" t="s">
        <v>1413</v>
      </c>
      <c r="E71" s="7" t="s">
        <v>1414</v>
      </c>
      <c r="F71" s="7" t="s">
        <v>1415</v>
      </c>
      <c r="G71" s="7" t="s">
        <v>238</v>
      </c>
      <c r="H71" s="7" t="s">
        <v>77</v>
      </c>
      <c r="I71" s="7" t="s">
        <v>824</v>
      </c>
      <c r="J71" s="7" t="s">
        <v>1416</v>
      </c>
      <c r="K71" s="7" t="s">
        <v>1417</v>
      </c>
      <c r="L71" s="7" t="s">
        <v>809</v>
      </c>
      <c r="M71" s="7" t="s">
        <v>1418</v>
      </c>
      <c r="N71" s="7" t="s">
        <v>1419</v>
      </c>
      <c r="O71" s="7" t="s">
        <v>63</v>
      </c>
      <c r="P71" s="7" t="s">
        <v>1420</v>
      </c>
      <c r="Q71" s="7" t="s">
        <v>64</v>
      </c>
      <c r="R71" s="7" t="s">
        <v>67</v>
      </c>
      <c r="S71" s="7" t="s">
        <v>66</v>
      </c>
      <c r="T71" s="7" t="s">
        <v>66</v>
      </c>
      <c r="U71" s="7" t="s">
        <v>1421</v>
      </c>
      <c r="V71" s="7" t="s">
        <v>1422</v>
      </c>
      <c r="W71" s="7" t="s">
        <v>57</v>
      </c>
      <c r="X71" s="7" t="s">
        <v>57</v>
      </c>
      <c r="Y71" s="7" t="s">
        <v>1423</v>
      </c>
      <c r="Z71" s="7" t="s">
        <v>1424</v>
      </c>
      <c r="AA71" s="7" t="s">
        <v>1425</v>
      </c>
      <c r="AB71" s="7" t="s">
        <v>1426</v>
      </c>
      <c r="AC71" s="7" t="s">
        <v>1427</v>
      </c>
      <c r="AD71" s="7"/>
      <c r="AE71" s="7" t="s">
        <v>75</v>
      </c>
      <c r="AF71" s="17">
        <v>46223</v>
      </c>
      <c r="AG71" s="7" t="s">
        <v>131</v>
      </c>
      <c r="AH71" s="7" t="s">
        <v>77</v>
      </c>
      <c r="AI71" s="7" t="s">
        <v>78</v>
      </c>
      <c r="AJ71" s="7" t="str">
        <f t="shared" si="2"/>
        <v>epa national emissions inventory (nei) epa 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 public webpages, downloadable inventory files, summaries, technical documentation, and online retrieval tools open/public environmental exposure air emissions; air quality; hazardous air pollutants; criteria pollutants; industrial facilities; mobile sources; fires; source inventory; environmental modeling; area-level data 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 environmental 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 residents of the united states and territories potentially affected by air emissions from inventoried sources united states facility; emission unit; county; tribal area; state, depending on source category and file other high 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 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 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 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 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v>
      </c>
    </row>
    <row r="72" spans="1:36" ht="28.5">
      <c r="A72" s="4" t="s">
        <v>1851</v>
      </c>
      <c r="B72" s="13" t="s">
        <v>1292</v>
      </c>
      <c r="C72" s="7" t="s">
        <v>1317</v>
      </c>
      <c r="D72" s="15" t="s">
        <v>1428</v>
      </c>
      <c r="E72" s="7" t="s">
        <v>1429</v>
      </c>
      <c r="F72" s="7" t="s">
        <v>1430</v>
      </c>
      <c r="G72" s="7" t="s">
        <v>238</v>
      </c>
      <c r="H72" s="7" t="s">
        <v>151</v>
      </c>
      <c r="I72" s="7" t="s">
        <v>824</v>
      </c>
      <c r="J72" s="7" t="s">
        <v>1431</v>
      </c>
      <c r="K72" s="7" t="s">
        <v>1432</v>
      </c>
      <c r="L72" s="7" t="s">
        <v>809</v>
      </c>
      <c r="M72" s="7" t="s">
        <v>1433</v>
      </c>
      <c r="N72" s="7" t="s">
        <v>1434</v>
      </c>
      <c r="O72" s="7" t="s">
        <v>63</v>
      </c>
      <c r="P72" s="7" t="s">
        <v>1435</v>
      </c>
      <c r="Q72" s="7" t="s">
        <v>829</v>
      </c>
      <c r="R72" s="7" t="s">
        <v>67</v>
      </c>
      <c r="S72" s="7" t="s">
        <v>66</v>
      </c>
      <c r="T72" s="7" t="s">
        <v>66</v>
      </c>
      <c r="U72" s="7" t="s">
        <v>1436</v>
      </c>
      <c r="V72" s="7" t="s">
        <v>1437</v>
      </c>
      <c r="W72" s="7" t="s">
        <v>57</v>
      </c>
      <c r="X72" s="7" t="s">
        <v>57</v>
      </c>
      <c r="Y72" s="7" t="s">
        <v>1438</v>
      </c>
      <c r="Z72" s="7" t="s">
        <v>1439</v>
      </c>
      <c r="AA72" s="7" t="s">
        <v>1440</v>
      </c>
      <c r="AB72" s="7" t="s">
        <v>1441</v>
      </c>
      <c r="AC72" s="7" t="s">
        <v>1442</v>
      </c>
      <c r="AD72" s="7"/>
      <c r="AE72" s="7" t="s">
        <v>75</v>
      </c>
      <c r="AF72" s="17">
        <v>46223</v>
      </c>
      <c r="AG72" s="7" t="s">
        <v>131</v>
      </c>
      <c r="AH72" s="7" t="s">
        <v>57</v>
      </c>
      <c r="AI72" s="7" t="s">
        <v>78</v>
      </c>
      <c r="AJ72" s="7" t="str">
        <f t="shared" si="2"/>
        <v>epa toxics release inventory (tri) epa annual facility-level data on toxic chemical releases, waste management, off-site transfers, recycling, treatment, energy recovery, and pollution-prevention activities reported by covered industrial and federal facilities. public interactive tools, maps, reports, downloadable annual files, facility records, and envirofacts searches open/public environmental exposure industrial pollution; toxic chemicals; facility-level data; environmental justice; pollution prevention; air releases; water releases; land disposal; waste management; longitudinal data 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 environmental toxic chemical releases; industrial emissions; air pollution; surface-water discharges; underground injection; land disposal; off-site waste transfers; chemical recycling; energy recovery; treatment; pollution prevention; source reduction; facility environmental performance residents and communities potentially affected by toxic chemical releases and waste-management activities from covered industrial and federal facilities in the united states and territories united states facility; zip code; county; state; tribal area facility/provider high 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 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 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 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 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v>
      </c>
    </row>
    <row r="73" spans="1:36" ht="28.5">
      <c r="A73" s="4" t="s">
        <v>1852</v>
      </c>
      <c r="B73" s="14" t="s">
        <v>1293</v>
      </c>
      <c r="C73" s="7" t="s">
        <v>1317</v>
      </c>
      <c r="D73" s="15" t="s">
        <v>1443</v>
      </c>
      <c r="E73" s="7" t="s">
        <v>1445</v>
      </c>
      <c r="F73" s="7" t="s">
        <v>1446</v>
      </c>
      <c r="G73" s="7" t="s">
        <v>238</v>
      </c>
      <c r="H73" s="7" t="s">
        <v>77</v>
      </c>
      <c r="I73" s="7" t="s">
        <v>824</v>
      </c>
      <c r="J73" s="7" t="s">
        <v>1447</v>
      </c>
      <c r="K73" s="7" t="s">
        <v>1448</v>
      </c>
      <c r="L73" s="7" t="s">
        <v>809</v>
      </c>
      <c r="M73" s="7" t="s">
        <v>1449</v>
      </c>
      <c r="N73" s="7" t="s">
        <v>1450</v>
      </c>
      <c r="O73" s="7" t="s">
        <v>63</v>
      </c>
      <c r="P73" s="7" t="s">
        <v>1451</v>
      </c>
      <c r="Q73" s="7" t="s">
        <v>64</v>
      </c>
      <c r="R73" s="7" t="s">
        <v>67</v>
      </c>
      <c r="S73" s="7" t="s">
        <v>66</v>
      </c>
      <c r="T73" s="7" t="s">
        <v>66</v>
      </c>
      <c r="U73" s="7" t="s">
        <v>1452</v>
      </c>
      <c r="V73" s="7" t="s">
        <v>1453</v>
      </c>
      <c r="W73" s="7" t="s">
        <v>57</v>
      </c>
      <c r="X73" s="7" t="s">
        <v>57</v>
      </c>
      <c r="Y73" s="7" t="s">
        <v>1454</v>
      </c>
      <c r="Z73" s="7" t="s">
        <v>1455</v>
      </c>
      <c r="AA73" s="7" t="s">
        <v>1456</v>
      </c>
      <c r="AB73" s="7" t="s">
        <v>1457</v>
      </c>
      <c r="AC73" s="7" t="s">
        <v>1458</v>
      </c>
      <c r="AD73" s="7"/>
      <c r="AE73" s="7" t="s">
        <v>66</v>
      </c>
      <c r="AF73" s="17">
        <v>46223</v>
      </c>
      <c r="AG73" s="7" t="s">
        <v>131</v>
      </c>
      <c r="AH73" s="7" t="s">
        <v>77</v>
      </c>
      <c r="AI73" s="7" t="s">
        <v>78</v>
      </c>
      <c r="AJ73" s="7" t="str">
        <f t="shared" si="2"/>
        <v>epa risk-screening environmental indicators (rsei) epa screening-level model that places tri-reported toxic chemical releases and waste-management activities into a relative health-impact context by incorporating chemical toxicity, environmental fate and transport, modeled exposure pathways, and potentially exposed populations. public website, interactive easyrsei dashboard, downloadable model results, geographic microdata, technical documentation, and data dictionary open/public environmental exposure toxic chemicals; industrial pollution; environmental justice; exposure modeling; risk screening; cancer risk; noncancer effects; facility-level data; geospatial data; longitudinal data 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 environmental toxic chemical releases; industrial pollution; modeled air exposure; modeled water exposure; chemical toxicity; environmental fate and transport; chronic cancer effects; chronic noncancer effects; population exposure; facility prioritization; environmental justice; pollution trends residents of the united states potentially affected by modeled air and water pathways from tri-reporting industrial and federal facilities united states 810-meter grid cell; census block group; census tract; zip code; county; facility; state, depending on product other high 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 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 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 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 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v>
      </c>
    </row>
    <row r="74" spans="1:36" ht="42.75">
      <c r="A74" s="4" t="s">
        <v>1853</v>
      </c>
      <c r="B74" s="13" t="s">
        <v>1294</v>
      </c>
      <c r="C74" s="7" t="s">
        <v>1317</v>
      </c>
      <c r="D74" s="15" t="s">
        <v>1459</v>
      </c>
      <c r="E74" s="7" t="s">
        <v>1460</v>
      </c>
      <c r="F74" s="7" t="s">
        <v>1461</v>
      </c>
      <c r="G74" s="7" t="s">
        <v>238</v>
      </c>
      <c r="H74" s="7" t="s">
        <v>151</v>
      </c>
      <c r="I74" s="7" t="s">
        <v>824</v>
      </c>
      <c r="J74" s="7" t="s">
        <v>1462</v>
      </c>
      <c r="K74" s="7" t="s">
        <v>1463</v>
      </c>
      <c r="L74" s="7" t="s">
        <v>809</v>
      </c>
      <c r="M74" s="7" t="s">
        <v>1464</v>
      </c>
      <c r="N74" s="7" t="s">
        <v>1465</v>
      </c>
      <c r="O74" s="7" t="s">
        <v>63</v>
      </c>
      <c r="P74" s="7" t="s">
        <v>1466</v>
      </c>
      <c r="Q74" t="s">
        <v>829</v>
      </c>
      <c r="R74" s="7" t="s">
        <v>67</v>
      </c>
      <c r="S74" s="7" t="s">
        <v>66</v>
      </c>
      <c r="T74" s="7" t="s">
        <v>66</v>
      </c>
      <c r="U74" s="7" t="s">
        <v>1467</v>
      </c>
      <c r="V74" s="7" t="s">
        <v>1468</v>
      </c>
      <c r="W74" s="7" t="s">
        <v>57</v>
      </c>
      <c r="X74" s="7" t="s">
        <v>57</v>
      </c>
      <c r="Y74" s="7" t="s">
        <v>1469</v>
      </c>
      <c r="Z74" s="7" t="s">
        <v>1470</v>
      </c>
      <c r="AA74" s="7" t="s">
        <v>1471</v>
      </c>
      <c r="AB74" s="7" t="s">
        <v>1472</v>
      </c>
      <c r="AC74" s="7" t="s">
        <v>1473</v>
      </c>
      <c r="AD74" s="7"/>
      <c r="AE74" s="7" t="s">
        <v>66</v>
      </c>
      <c r="AF74" s="17">
        <v>46224</v>
      </c>
      <c r="AG74" s="7" t="s">
        <v>131</v>
      </c>
      <c r="AH74" s="7" t="s">
        <v>77</v>
      </c>
      <c r="AI74" s="7" t="s">
        <v>78</v>
      </c>
      <c r="AJ74" s="7" t="str">
        <f t="shared" si="2"/>
        <v>epa enforcement and compliance history online (echo) epa integrated public portal for locating regulated facilities and examining environmental permits, inspections, compliance status, violations, enforcement actions, penalties, pollutant discharges, and surrounding community characteristics across major federal environmental programs. public facility searches, detailed facility reports, dashboards, maps, bulk downloads, map services, and query-only web services; optional user accounts support selected notification or saved-search functions. open/public environmental exposure regulatory compliance; environmental enforcement; facility-level data; industrial pollution; drinking water; wastewater; hazardous waste; air regulation; environmental justice; permits; inspections; longitudinal data 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 environmental environmental regulation; facility compliance; permits; inspections; violations; enforcement actions; penalties; air-program compliance; wastewater and stormwater discharges; drinking-water compliance; hazardous-waste regulation; pollutant loadings; industrial facilities; community demographics residents and communities located near or served by regulated facilities, public water systems, wastewater systems, hazardous-waste handlers, and other entities covered by epa environmental programs united states facility; public water system; permitted discharge point; county; state; watershed facility/provider high 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 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 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 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 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v>
      </c>
    </row>
    <row r="75" spans="1:36" ht="28.5">
      <c r="A75" s="4" t="s">
        <v>1854</v>
      </c>
      <c r="B75" s="14" t="s">
        <v>1295</v>
      </c>
      <c r="C75" s="7" t="s">
        <v>1317</v>
      </c>
      <c r="D75" s="15" t="s">
        <v>1444</v>
      </c>
      <c r="E75" s="7" t="s">
        <v>1474</v>
      </c>
      <c r="F75" s="7" t="s">
        <v>1475</v>
      </c>
      <c r="G75" s="7" t="s">
        <v>238</v>
      </c>
      <c r="H75" s="7" t="s">
        <v>151</v>
      </c>
      <c r="I75" s="7" t="s">
        <v>824</v>
      </c>
      <c r="J75" s="7" t="s">
        <v>1476</v>
      </c>
      <c r="K75" s="7" t="s">
        <v>1477</v>
      </c>
      <c r="L75" s="7" t="s">
        <v>337</v>
      </c>
      <c r="M75" s="7" t="s">
        <v>1478</v>
      </c>
      <c r="N75" s="7" t="s">
        <v>1479</v>
      </c>
      <c r="O75" s="7" t="s">
        <v>63</v>
      </c>
      <c r="P75" s="7" t="s">
        <v>1480</v>
      </c>
      <c r="Q75" s="7" t="s">
        <v>829</v>
      </c>
      <c r="R75" s="7" t="s">
        <v>67</v>
      </c>
      <c r="S75" s="7" t="s">
        <v>66</v>
      </c>
      <c r="T75" s="7" t="s">
        <v>67</v>
      </c>
      <c r="U75" s="7" t="s">
        <v>1481</v>
      </c>
      <c r="V75" s="7" t="s">
        <v>1482</v>
      </c>
      <c r="W75" s="7" t="s">
        <v>57</v>
      </c>
      <c r="X75" s="7" t="s">
        <v>57</v>
      </c>
      <c r="Y75" s="7" t="s">
        <v>1483</v>
      </c>
      <c r="Z75" s="7" t="s">
        <v>1484</v>
      </c>
      <c r="AA75" s="7" t="s">
        <v>1485</v>
      </c>
      <c r="AB75" s="7" t="s">
        <v>1486</v>
      </c>
      <c r="AC75" s="7" t="s">
        <v>1487</v>
      </c>
      <c r="AD75" s="7"/>
      <c r="AE75" s="7" t="s">
        <v>75</v>
      </c>
      <c r="AF75" s="17">
        <v>46224</v>
      </c>
      <c r="AG75" s="7" t="s">
        <v>131</v>
      </c>
      <c r="AH75" s="7" t="s">
        <v>77</v>
      </c>
      <c r="AI75" s="7" t="s">
        <v>78</v>
      </c>
      <c r="AJ75" s="7" t="str">
        <f t="shared" si="2"/>
        <v>epa facility registry service (frs) epa central facility-identification and geospatial registry that consolidates facility names, locations, identifiers, industrial classifications, and environmental-program affiliations from epa, state, tribal, and other partner systems to support facility matching and cross-dataset linkage. public facility search, downloadable state and national csv files, geospatial downloads, rest apis, arcgis map services, and custom query tools; selected intergovernmental or internal services require authentication. open/public environmental exposure sdoh/geospatial; facility registry; environmental regulation; data integration; facility identifiers; industrial facilities; geocoding; cross-dataset linkage; area-level data 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 geospatial/area-level environmental facilities; regulated sites; industrial facilities; facility identification; facility geolocation; air programs; water programs; hazardous waste; toxic releases; contaminated sites; drinking-water systems; wastewater facilities; environmental data integration residents and communities located near facilities, sites, public water systems, wastewater facilities, and other locations represented in epa or partner environmental-program systems united states facility or site facility/provider high 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 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 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 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 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v>
      </c>
    </row>
    <row r="76" spans="1:36" ht="28.5">
      <c r="A76" s="4" t="s">
        <v>1855</v>
      </c>
      <c r="B76" s="14" t="s">
        <v>1296</v>
      </c>
      <c r="C76" s="7" t="s">
        <v>1317</v>
      </c>
      <c r="D76" s="7"/>
      <c r="E76" s="7" t="s">
        <v>1503</v>
      </c>
      <c r="F76" s="7" t="s">
        <v>1504</v>
      </c>
      <c r="G76" s="7" t="s">
        <v>238</v>
      </c>
      <c r="H76" s="7" t="s">
        <v>77</v>
      </c>
      <c r="I76" s="7" t="s">
        <v>824</v>
      </c>
      <c r="J76" s="7" t="s">
        <v>1505</v>
      </c>
      <c r="K76" s="7" t="s">
        <v>1506</v>
      </c>
      <c r="L76" s="7" t="s">
        <v>337</v>
      </c>
      <c r="M76" s="7" t="s">
        <v>1507</v>
      </c>
      <c r="N76" s="7" t="s">
        <v>1508</v>
      </c>
      <c r="O76" s="7" t="s">
        <v>63</v>
      </c>
      <c r="P76" s="7" t="s">
        <v>1509</v>
      </c>
      <c r="Q76" s="7" t="s">
        <v>829</v>
      </c>
      <c r="R76" s="7" t="s">
        <v>67</v>
      </c>
      <c r="S76" s="7" t="s">
        <v>66</v>
      </c>
      <c r="T76" s="7" t="s">
        <v>66</v>
      </c>
      <c r="U76" s="7" t="s">
        <v>1510</v>
      </c>
      <c r="V76" s="7" t="s">
        <v>1511</v>
      </c>
      <c r="W76" s="7" t="s">
        <v>57</v>
      </c>
      <c r="X76" s="7" t="s">
        <v>57</v>
      </c>
      <c r="Y76" s="7" t="s">
        <v>1512</v>
      </c>
      <c r="Z76" s="7" t="s">
        <v>1513</v>
      </c>
      <c r="AA76" s="7" t="s">
        <v>1514</v>
      </c>
      <c r="AB76" s="7" t="s">
        <v>1515</v>
      </c>
      <c r="AC76" s="7" t="s">
        <v>1516</v>
      </c>
      <c r="AD76" s="7"/>
      <c r="AE76" s="7" t="s">
        <v>75</v>
      </c>
      <c r="AF76" s="17">
        <v>46224</v>
      </c>
      <c r="AG76" s="7" t="s">
        <v>131</v>
      </c>
      <c r="AH76" s="7" t="s">
        <v>77</v>
      </c>
      <c r="AI76" s="7"/>
      <c r="AJ76" s="7" t="str">
        <f t="shared" si="2"/>
        <v>epa superfund data and reports / npl sites epa official national repository and search system for identifying active and archived superfund sites and examining site location, national priorities list status, contaminants, affected media, site assessment, cleanup actions, remedies, enforcement activities, and remediation progress. public sems search, npl site tables and maps, site profiles, downloadable reports, document collections, and separate geospatial boundary data; bulk products are distributed across multiple epa pages and formats. open/public environmental exposure sdoh/geospatial; contaminated sites; hazardous waste; superfund; environmental justice; cleanup and remediation; facility-level data; soil contamination; groundwater contamination; historical data 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 geospatial/area-level hazardous-waste sites; contaminated land; soil contamination; groundwater contamination; surface-water contamination; sediment contamination; site assessment; remediation; cleanup status; contaminants of concern; institutional controls; engineering controls; enforcement and settlements residents and communities located near active, archived, proposed, final, or deleted superfund and related hazardous-waste sites in the united states and territories united states superfund site; facility; site boundary; county; state facility/provider high 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 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 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 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 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v>
      </c>
    </row>
    <row r="77" spans="1:36">
      <c r="A77" s="4" t="s">
        <v>1856</v>
      </c>
      <c r="B77" t="s">
        <v>1517</v>
      </c>
      <c r="C77" s="7" t="s">
        <v>1317</v>
      </c>
      <c r="D77" s="15" t="s">
        <v>1518</v>
      </c>
      <c r="E77" s="7" t="s">
        <v>1519</v>
      </c>
      <c r="F77" s="7" t="s">
        <v>1520</v>
      </c>
      <c r="G77" s="7" t="s">
        <v>238</v>
      </c>
      <c r="H77" s="7" t="s">
        <v>77</v>
      </c>
      <c r="I77" s="7" t="s">
        <v>353</v>
      </c>
      <c r="J77" s="7" t="s">
        <v>1521</v>
      </c>
      <c r="K77" s="7" t="s">
        <v>1522</v>
      </c>
      <c r="L77" s="7" t="s">
        <v>337</v>
      </c>
      <c r="M77" s="7" t="s">
        <v>1523</v>
      </c>
      <c r="N77" s="7" t="s">
        <v>1524</v>
      </c>
      <c r="O77" s="7" t="s">
        <v>63</v>
      </c>
      <c r="P77" s="7" t="s">
        <v>1525</v>
      </c>
      <c r="Q77" s="7" t="s">
        <v>64</v>
      </c>
      <c r="R77" s="7" t="s">
        <v>67</v>
      </c>
      <c r="S77" s="7" t="s">
        <v>66</v>
      </c>
      <c r="T77" s="7" t="s">
        <v>67</v>
      </c>
      <c r="U77" s="7" t="s">
        <v>1526</v>
      </c>
      <c r="V77" s="7" t="s">
        <v>1527</v>
      </c>
      <c r="W77" s="7" t="s">
        <v>57</v>
      </c>
      <c r="X77" s="7" t="s">
        <v>57</v>
      </c>
      <c r="Y77" s="7" t="s">
        <v>1528</v>
      </c>
      <c r="Z77" s="7" t="s">
        <v>1529</v>
      </c>
      <c r="AA77" s="7" t="s">
        <v>1530</v>
      </c>
      <c r="AB77" s="7" t="s">
        <v>1531</v>
      </c>
      <c r="AC77" s="7" t="s">
        <v>1532</v>
      </c>
      <c r="AD77" s="7"/>
      <c r="AE77" s="7" t="s">
        <v>66</v>
      </c>
      <c r="AF77" s="17">
        <v>46225</v>
      </c>
      <c r="AG77" s="7" t="s">
        <v>131</v>
      </c>
      <c r="AH77" s="7" t="s">
        <v>77</v>
      </c>
      <c r="AI77" s="7"/>
      <c r="AJ77" s="7" t="e">
        <f>LOWER(_xlfn.SINGLE(_xlfn.TEXTJOIN(" ", TRUE,#REF!, C77, E77, F77, G77, I77, J77, K77, L77, M77, N77, O77, P77, Q77, X77, Y77, Z77, AA77, AB77, AC77, AD77)))</f>
        <v>#REF!</v>
      </c>
    </row>
    <row r="78" spans="1:36" ht="28.5">
      <c r="A78" s="4" t="s">
        <v>1857</v>
      </c>
      <c r="B78" s="13" t="s">
        <v>1297</v>
      </c>
      <c r="C78" s="7" t="s">
        <v>1317</v>
      </c>
      <c r="D78" s="11" t="s">
        <v>1533</v>
      </c>
      <c r="E78" t="s">
        <v>1534</v>
      </c>
      <c r="F78" s="7" t="s">
        <v>1535</v>
      </c>
      <c r="G78" s="7" t="s">
        <v>469</v>
      </c>
      <c r="H78" s="7" t="s">
        <v>151</v>
      </c>
      <c r="I78" s="7" t="s">
        <v>824</v>
      </c>
      <c r="J78" s="7" t="s">
        <v>1536</v>
      </c>
      <c r="K78" s="7" t="s">
        <v>1537</v>
      </c>
      <c r="L78" s="7" t="s">
        <v>337</v>
      </c>
      <c r="M78" s="7" t="s">
        <v>1538</v>
      </c>
      <c r="N78" s="7" t="s">
        <v>1539</v>
      </c>
      <c r="O78" s="7" t="s">
        <v>63</v>
      </c>
      <c r="P78" s="7" t="s">
        <v>1540</v>
      </c>
      <c r="Q78" s="7" t="s">
        <v>64</v>
      </c>
      <c r="R78" s="7" t="s">
        <v>67</v>
      </c>
      <c r="S78" s="7" t="s">
        <v>66</v>
      </c>
      <c r="T78" s="7" t="s">
        <v>66</v>
      </c>
      <c r="U78" s="7" t="s">
        <v>1541</v>
      </c>
      <c r="V78" s="7" t="s">
        <v>1542</v>
      </c>
      <c r="W78" s="7" t="s">
        <v>57</v>
      </c>
      <c r="X78" s="7" t="s">
        <v>57</v>
      </c>
      <c r="Y78" s="7" t="s">
        <v>1543</v>
      </c>
      <c r="Z78" s="7" t="s">
        <v>1544</v>
      </c>
      <c r="AA78" s="7" t="s">
        <v>1545</v>
      </c>
      <c r="AB78" s="7" t="s">
        <v>1546</v>
      </c>
      <c r="AC78" s="7" t="s">
        <v>1547</v>
      </c>
      <c r="AD78" s="7"/>
      <c r="AE78" s="7" t="s">
        <v>75</v>
      </c>
      <c r="AF78" s="17">
        <v>46225</v>
      </c>
      <c r="AG78" s="7" t="s">
        <v>131</v>
      </c>
      <c r="AH78" s="7" t="s">
        <v>77</v>
      </c>
      <c r="AI78" s="7"/>
      <c r="AJ78" s="7" t="str">
        <f t="shared" si="2"/>
        <v>epa brownfields site information epa public property-level information on brownfields addressed using epa funding or technical assistance, including property location, assessment activities, potential or confirmed contamination, cleanup progress, controls, redevelopment, and reuse accomplishments. public map, searchable property profiles, excel and csv downloads through cleanups in my community; full acres reporting system restricted to epa brownfields staff and authorized grant or contract recipients. open plus controlled data environmental exposure sdoh/geospatial; brownfields; contaminated sites; land revitalization; environmental justice; cleanup and remediation; redevelopment; property-level data; community development 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 geospatial/area-level 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 residents and communities surrounding properties assessed, cleaned up, or redeveloped using epa brownfields funding or technical assistance united states brownfield property or site; grant jurisdiction; address; county; state other high 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 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 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 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 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v>
      </c>
    </row>
    <row r="79" spans="1:36">
      <c r="A79" s="4" t="s">
        <v>1858</v>
      </c>
      <c r="B79" s="14" t="s">
        <v>1298</v>
      </c>
      <c r="C79" s="7" t="s">
        <v>1317</v>
      </c>
      <c r="D79" s="15" t="s">
        <v>1488</v>
      </c>
      <c r="E79" s="7" t="s">
        <v>1489</v>
      </c>
      <c r="F79" s="7" t="s">
        <v>1490</v>
      </c>
      <c r="G79" s="7" t="s">
        <v>238</v>
      </c>
      <c r="H79" s="7" t="s">
        <v>77</v>
      </c>
      <c r="I79" s="7" t="s">
        <v>824</v>
      </c>
      <c r="J79" s="7" t="s">
        <v>1491</v>
      </c>
      <c r="K79" s="7" t="s">
        <v>1492</v>
      </c>
      <c r="L79" s="7" t="s">
        <v>809</v>
      </c>
      <c r="M79" s="7" t="s">
        <v>1493</v>
      </c>
      <c r="N79" s="7" t="s">
        <v>1494</v>
      </c>
      <c r="O79" s="7" t="s">
        <v>63</v>
      </c>
      <c r="P79" s="7" t="s">
        <v>1495</v>
      </c>
      <c r="Q79" s="7" t="s">
        <v>64</v>
      </c>
      <c r="R79" s="7" t="s">
        <v>67</v>
      </c>
      <c r="S79" s="7" t="s">
        <v>66</v>
      </c>
      <c r="T79" s="7" t="s">
        <v>66</v>
      </c>
      <c r="U79" s="7" t="s">
        <v>1496</v>
      </c>
      <c r="V79" s="7" t="s">
        <v>1497</v>
      </c>
      <c r="W79" s="7" t="s">
        <v>57</v>
      </c>
      <c r="X79" s="7" t="s">
        <v>57</v>
      </c>
      <c r="Y79" s="7" t="s">
        <v>1498</v>
      </c>
      <c r="Z79" s="7" t="s">
        <v>1499</v>
      </c>
      <c r="AA79" s="7" t="s">
        <v>1500</v>
      </c>
      <c r="AB79" s="7" t="s">
        <v>1501</v>
      </c>
      <c r="AC79" s="7" t="s">
        <v>1502</v>
      </c>
      <c r="AD79" s="7"/>
      <c r="AE79" s="7" t="s">
        <v>66</v>
      </c>
      <c r="AF79" s="17">
        <v>46224</v>
      </c>
      <c r="AG79" s="7" t="s">
        <v>131</v>
      </c>
      <c r="AH79" s="7" t="s">
        <v>57</v>
      </c>
      <c r="AI79" s="7" t="s">
        <v>78</v>
      </c>
      <c r="AJ79" s="7" t="str">
        <f t="shared" si="2"/>
        <v>water quality portal (wqp) epa national portal for discovering, querying, and downloading discrete physical, chemical, biological, and habitat-related water-quality monitoring results from epa, usgs, and state, tribal, federal, local, academic, watershed, and volunteer monitoring programs. public web query, downloadable csv, tab-delimited and excel files, geospatial services, and public rest web services; no registration required for data retrieval. open/public environmental exposure water quality; environmental monitoring; surface water; groundwater; sdoh/geospatial; aquatic ecosystems; drinking water; biological monitoring; monitoring-site data; time-series data 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 environmental water chemistry; surface-water quality; groundwater quality; nutrients; metals; organic chemicals; pfas; pesticides; pharmaceuticals; pathogens; bacteria; physical water characteristics; sediment; aquatic biology; habitat assessment; drinking-water source quality; watershed condition water bodies, groundwater resources, sediments, aquatic organisms, and other environmental media represented by samples collected at monitoring locations united states monitoring site; water body; watershed/huc; county; state; other high 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 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 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 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 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v>
      </c>
    </row>
    <row r="80" spans="1:36">
      <c r="A80" s="4" t="s">
        <v>1859</v>
      </c>
      <c r="B80" s="14" t="s">
        <v>1548</v>
      </c>
      <c r="C80" s="7" t="s">
        <v>1319</v>
      </c>
      <c r="D80" t="s">
        <v>1565</v>
      </c>
      <c r="E80" t="s">
        <v>1566</v>
      </c>
      <c r="F80" t="s">
        <v>1567</v>
      </c>
      <c r="G80" t="s">
        <v>238</v>
      </c>
      <c r="H80" t="s">
        <v>151</v>
      </c>
      <c r="I80" s="7" t="s">
        <v>824</v>
      </c>
      <c r="J80" s="7" t="s">
        <v>1568</v>
      </c>
      <c r="K80" s="7" t="s">
        <v>1569</v>
      </c>
      <c r="L80" s="7" t="s">
        <v>304</v>
      </c>
      <c r="M80" s="7" t="s">
        <v>1570</v>
      </c>
      <c r="N80" s="7" t="s">
        <v>1571</v>
      </c>
      <c r="O80" s="7" t="s">
        <v>63</v>
      </c>
      <c r="P80" s="7" t="s">
        <v>1572</v>
      </c>
      <c r="Q80" s="7" t="s">
        <v>308</v>
      </c>
      <c r="R80" s="7" t="s">
        <v>67</v>
      </c>
      <c r="S80" s="7" t="s">
        <v>66</v>
      </c>
      <c r="T80" s="7" t="s">
        <v>66</v>
      </c>
      <c r="U80" s="7" t="s">
        <v>1573</v>
      </c>
      <c r="V80" s="7" t="s">
        <v>1574</v>
      </c>
      <c r="W80" s="7" t="s">
        <v>77</v>
      </c>
      <c r="X80" s="7" t="s">
        <v>57</v>
      </c>
      <c r="Y80" s="7" t="s">
        <v>1575</v>
      </c>
      <c r="Z80" s="7" t="s">
        <v>1576</v>
      </c>
      <c r="AA80" s="7" t="s">
        <v>1577</v>
      </c>
      <c r="AB80" s="7" t="s">
        <v>1578</v>
      </c>
      <c r="AC80" s="7" t="s">
        <v>1579</v>
      </c>
      <c r="AD80" s="7"/>
      <c r="AE80" s="7" t="s">
        <v>75</v>
      </c>
      <c r="AF80" s="17">
        <v>46225</v>
      </c>
      <c r="AG80" s="7" t="s">
        <v>131</v>
      </c>
      <c r="AH80" s="7" t="s">
        <v>77</v>
      </c>
      <c r="AI80" s="7"/>
      <c r="AJ80" s="7" t="str">
        <f>LOWER(_xlfn.SINGLE(_xlfn.TEXTJOIN(" ", TRUE, B80, C80, E81, F81, G81, I80, J80, K80, L80, M80, N80, O80, P80, Q80, X80, Y80, Z80, AA80, AB80, AC80, AD80)))</f>
        <v>how's my waterway epa / data.gov 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 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 open/public environmental exposure reports/dashboard; sdoh/geospatial; water quality; watersheds; impaired waters; drinking water; permitted dischargers; water monitoring; restoration; environmental justice; public communication 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 reports/dashboard surface-water condition; swimming; fish consumption; aquatic life; impairments; causes of impairment; restoration and protection; permitted wastewater dischargers; discharge violations; drinking-water systems; water monitoring; cyanobacteria; watershed health; state and national water metrics residents, water users, and communities associated with u.s. watersheds, waterbodies, states, territories, and tribal areas represented in the application united states huc12 watershed; waterbody; community; state; tribal area; national report/dashboard high 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 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 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 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 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v>
      </c>
    </row>
    <row r="81" spans="1:36">
      <c r="A81" s="4" t="s">
        <v>1860</v>
      </c>
      <c r="B81" s="13" t="s">
        <v>1549</v>
      </c>
      <c r="C81" s="7" t="s">
        <v>1319</v>
      </c>
      <c r="D81" s="15" t="s">
        <v>1564</v>
      </c>
      <c r="E81" s="7" t="s">
        <v>1550</v>
      </c>
      <c r="F81" s="7" t="s">
        <v>1551</v>
      </c>
      <c r="G81" s="7" t="s">
        <v>238</v>
      </c>
      <c r="H81" s="7" t="s">
        <v>77</v>
      </c>
      <c r="I81" s="7" t="s">
        <v>824</v>
      </c>
      <c r="J81" s="7" t="s">
        <v>1552</v>
      </c>
      <c r="K81" s="7" t="s">
        <v>1553</v>
      </c>
      <c r="L81" s="7" t="s">
        <v>337</v>
      </c>
      <c r="M81" s="7" t="s">
        <v>1554</v>
      </c>
      <c r="N81" s="7" t="s">
        <v>1555</v>
      </c>
      <c r="O81" s="7" t="s">
        <v>63</v>
      </c>
      <c r="P81" s="7" t="s">
        <v>1556</v>
      </c>
      <c r="Q81" s="7" t="s">
        <v>64</v>
      </c>
      <c r="R81" s="7" t="s">
        <v>67</v>
      </c>
      <c r="S81" s="7" t="s">
        <v>66</v>
      </c>
      <c r="T81" s="7" t="s">
        <v>66</v>
      </c>
      <c r="U81" s="7" t="s">
        <v>1557</v>
      </c>
      <c r="V81" s="7" t="s">
        <v>1558</v>
      </c>
      <c r="W81" s="7" t="s">
        <v>57</v>
      </c>
      <c r="X81" s="7" t="s">
        <v>57</v>
      </c>
      <c r="Y81" s="7" t="s">
        <v>1559</v>
      </c>
      <c r="Z81" s="7" t="s">
        <v>1560</v>
      </c>
      <c r="AA81" s="7" t="s">
        <v>1561</v>
      </c>
      <c r="AB81" s="7" t="s">
        <v>1562</v>
      </c>
      <c r="AC81" s="7" t="s">
        <v>1563</v>
      </c>
      <c r="AD81" s="7"/>
      <c r="AE81" s="7" t="s">
        <v>75</v>
      </c>
      <c r="AF81" s="17">
        <v>46225</v>
      </c>
      <c r="AG81" s="7" t="s">
        <v>131</v>
      </c>
      <c r="AH81" s="7" t="s">
        <v>57</v>
      </c>
      <c r="AI81" s="7" t="s">
        <v>78</v>
      </c>
      <c r="AJ81" s="7" t="e">
        <f>LOWER(_xlfn.SINGLE(_xlfn.TEXTJOIN(" ", TRUE, B81, C81,#REF!,#REF!,#REF!, I81, J81, K81, L81, M81, N81, O81, P81, Q81, X81, Y81, Z81, AA81, AB81, AC81, AD81)))</f>
        <v>#REF!</v>
      </c>
    </row>
    <row r="82" spans="1:36">
      <c r="A82" s="4" t="s">
        <v>1861</v>
      </c>
      <c r="B82" s="14" t="s">
        <v>1299</v>
      </c>
      <c r="C82" s="7" t="s">
        <v>1320</v>
      </c>
      <c r="D82" s="15" t="s">
        <v>1580</v>
      </c>
      <c r="E82" s="7" t="s">
        <v>1581</v>
      </c>
      <c r="F82" s="7" t="s">
        <v>1582</v>
      </c>
      <c r="G82" s="7" t="s">
        <v>238</v>
      </c>
      <c r="H82" s="7" t="s">
        <v>77</v>
      </c>
      <c r="I82" s="7" t="s">
        <v>824</v>
      </c>
      <c r="J82" s="7" t="s">
        <v>1583</v>
      </c>
      <c r="K82" s="7" t="s">
        <v>1584</v>
      </c>
      <c r="L82" s="7" t="s">
        <v>337</v>
      </c>
      <c r="M82" s="7" t="s">
        <v>1585</v>
      </c>
      <c r="N82" s="7" t="s">
        <v>1586</v>
      </c>
      <c r="O82" s="7" t="s">
        <v>63</v>
      </c>
      <c r="P82" s="7" t="s">
        <v>1587</v>
      </c>
      <c r="Q82" s="7" t="s">
        <v>64</v>
      </c>
      <c r="R82" s="7" t="s">
        <v>67</v>
      </c>
      <c r="S82" s="7" t="s">
        <v>66</v>
      </c>
      <c r="T82" s="7" t="s">
        <v>67</v>
      </c>
      <c r="U82" s="7" t="s">
        <v>1588</v>
      </c>
      <c r="V82" s="7" t="s">
        <v>1589</v>
      </c>
      <c r="W82" s="7" t="s">
        <v>57</v>
      </c>
      <c r="X82" s="7" t="s">
        <v>57</v>
      </c>
      <c r="Y82" s="7" t="s">
        <v>1590</v>
      </c>
      <c r="Z82" s="7" t="s">
        <v>1591</v>
      </c>
      <c r="AA82" s="7" t="s">
        <v>1592</v>
      </c>
      <c r="AB82" s="7" t="s">
        <v>1593</v>
      </c>
      <c r="AC82" s="7" t="s">
        <v>1594</v>
      </c>
      <c r="AD82" s="7"/>
      <c r="AE82" s="7" t="s">
        <v>75</v>
      </c>
      <c r="AF82" s="17">
        <v>46225</v>
      </c>
      <c r="AG82" s="7" t="s">
        <v>131</v>
      </c>
      <c r="AH82" s="7" t="s">
        <v>77</v>
      </c>
      <c r="AI82" s="7" t="s">
        <v>78</v>
      </c>
      <c r="AJ82" s="7" t="str">
        <f t="shared" si="2"/>
        <v>epa waters geospatial data usgs / epa / nwqmc national geospatial framework providing hydrologically connected gis datasets, stream networks, catchments, watersheds, assessment units, and linked epa water-program layers for watershed delineation, upstream/downstream tracing, spatial analysis, and integration of epa water data. public geodatabases, shapefiles, feature services, arcgis rest services, downloadable gis layers, and web services. open/public environmental exposure sdoh/geospatial; hydrography; watersheds; stream network; gis; nhdplus; catchments; water resources; spatial analysis; hydrologic modeling 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 geospatial/area-level hydrography; stream networks; watersheds; catchments; hydrologic connectivity; waterbody geometry; assessment-unit boundaries; watershed delineation; flow-path analysis; gis integration; environmental spatial analysis surface-water features and hydrologic units represented in the national hydrographic network united states stream reach; flowline; catchment; watershed/huc; assessment unit; waterbody other high 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 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 epa attains; epa how's my waterway; water quality portal; epa nhdplus; epa echo/npdes; epa safe drinking water information system; epa enviroatlas; usgs national hydrography dataset; american community survey; census tiger/line 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 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v>
      </c>
    </row>
    <row r="83" spans="1:36" ht="28.5">
      <c r="A83" s="4" t="s">
        <v>1862</v>
      </c>
      <c r="B83" s="13" t="s">
        <v>1300</v>
      </c>
      <c r="C83" s="7" t="s">
        <v>1317</v>
      </c>
      <c r="D83" s="15" t="s">
        <v>1610</v>
      </c>
      <c r="E83" s="7" t="s">
        <v>1611</v>
      </c>
      <c r="F83" s="7" t="s">
        <v>1612</v>
      </c>
      <c r="G83" s="7" t="s">
        <v>238</v>
      </c>
      <c r="H83" s="7" t="s">
        <v>77</v>
      </c>
      <c r="I83" s="7" t="s">
        <v>824</v>
      </c>
      <c r="J83" s="7" t="s">
        <v>1613</v>
      </c>
      <c r="K83" s="7" t="s">
        <v>1614</v>
      </c>
      <c r="L83" s="7" t="s">
        <v>809</v>
      </c>
      <c r="M83" s="7" t="s">
        <v>1615</v>
      </c>
      <c r="N83" s="7" t="s">
        <v>1616</v>
      </c>
      <c r="O83" s="7" t="s">
        <v>63</v>
      </c>
      <c r="P83" s="7" t="s">
        <v>1617</v>
      </c>
      <c r="Q83" s="7" t="s">
        <v>64</v>
      </c>
      <c r="R83" s="7" t="s">
        <v>67</v>
      </c>
      <c r="S83" s="7" t="s">
        <v>66</v>
      </c>
      <c r="T83" s="7" t="s">
        <v>66</v>
      </c>
      <c r="U83" s="7" t="s">
        <v>1618</v>
      </c>
      <c r="V83" s="7" t="s">
        <v>1619</v>
      </c>
      <c r="W83" s="7" t="s">
        <v>57</v>
      </c>
      <c r="X83" s="7" t="s">
        <v>57</v>
      </c>
      <c r="Y83" s="7" t="s">
        <v>1620</v>
      </c>
      <c r="Z83" s="7" t="s">
        <v>1621</v>
      </c>
      <c r="AA83" s="7" t="s">
        <v>1622</v>
      </c>
      <c r="AB83" s="7" t="s">
        <v>1623</v>
      </c>
      <c r="AC83" s="7" t="s">
        <v>1624</v>
      </c>
      <c r="AD83" s="7"/>
      <c r="AE83" s="7" t="s">
        <v>66</v>
      </c>
      <c r="AF83" s="17">
        <v>46226</v>
      </c>
      <c r="AG83" s="7" t="s">
        <v>131</v>
      </c>
      <c r="AH83" s="7" t="s">
        <v>57</v>
      </c>
      <c r="AI83" s="7" t="s">
        <v>78</v>
      </c>
      <c r="AJ83" s="7" t="str">
        <f t="shared" si="2"/>
        <v>usgs water data for the nation / nwis epa national access system for current and historical usgs hydrologic and water-quality information collected at monitoring locations, including continuous sensor data, daily values, manual field measurements, discrete environmental samples, monitoring-site metadata, and derived statistics. public monitoring-location pages, maps, graphs, tables, data downloads, national water dashboard, rest/ogc apis, and r/python data-access tools; an api key is available for higher request-rate limits. open/public environmental exposure water quality; hydrology; surface water; groundwater; streamflow; water levels; environmental monitoring; sdoh/geospatial; monitoring-site data; time-series data; real-time data 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 environmental streamflow; river and stream levels; lakes and reservoirs; groundwater levels; wells and aquifers; floods; drought; precipitation; water temperature; physical water quality; chemical water quality; sediment; biological samples; hydrologic statistics surface waters, groundwater systems, and associated communities represented by usgs monitoring locations across u.s. states and territories united states monitoring location; streamgage; well; spring; lake or reservoir site; county; watershed/huc other high 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 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 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 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 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v>
      </c>
    </row>
    <row r="84" spans="1:36" ht="28.5">
      <c r="A84" s="4" t="s">
        <v>1863</v>
      </c>
      <c r="B84" s="14" t="s">
        <v>1301</v>
      </c>
      <c r="C84" s="7" t="s">
        <v>1317</v>
      </c>
      <c r="D84" s="15" t="s">
        <v>1640</v>
      </c>
      <c r="E84" s="7" t="s">
        <v>1645</v>
      </c>
      <c r="F84" s="7" t="s">
        <v>1646</v>
      </c>
      <c r="G84" s="7"/>
      <c r="H84" s="7"/>
      <c r="I84" t="s">
        <v>824</v>
      </c>
      <c r="J84" s="7" t="s">
        <v>1647</v>
      </c>
      <c r="K84" s="7" t="s">
        <v>1648</v>
      </c>
      <c r="L84" s="7" t="s">
        <v>809</v>
      </c>
      <c r="M84" s="7" t="s">
        <v>1649</v>
      </c>
      <c r="N84" s="7" t="s">
        <v>1650</v>
      </c>
      <c r="O84" s="7" t="s">
        <v>211</v>
      </c>
      <c r="P84" s="7" t="s">
        <v>1641</v>
      </c>
      <c r="Q84" s="7" t="s">
        <v>64</v>
      </c>
      <c r="R84" s="7" t="s">
        <v>67</v>
      </c>
      <c r="S84" s="7" t="s">
        <v>66</v>
      </c>
      <c r="T84" s="7" t="s">
        <v>66</v>
      </c>
      <c r="U84" s="7" t="s">
        <v>1651</v>
      </c>
      <c r="V84" s="7" t="s">
        <v>1652</v>
      </c>
      <c r="W84" s="7" t="s">
        <v>57</v>
      </c>
      <c r="X84" s="7" t="s">
        <v>57</v>
      </c>
      <c r="Y84" s="7" t="s">
        <v>1653</v>
      </c>
      <c r="Z84" s="7" t="s">
        <v>1654</v>
      </c>
      <c r="AA84" s="7" t="s">
        <v>1655</v>
      </c>
      <c r="AB84" s="7" t="s">
        <v>1656</v>
      </c>
      <c r="AC84" s="7" t="s">
        <v>1657</v>
      </c>
      <c r="AD84" s="7"/>
      <c r="AE84" s="7" t="s">
        <v>66</v>
      </c>
      <c r="AF84" s="17">
        <v>46225</v>
      </c>
      <c r="AG84" s="7"/>
      <c r="AH84" s="7" t="s">
        <v>77</v>
      </c>
      <c r="AI84" s="7"/>
      <c r="AJ84" s="7" t="str">
        <f t="shared" si="2"/>
        <v>noaa climate data online (cdo) epa portal for discovering and downloading observed historical weather and climate data and station metadata from multiple noaa/ncei collections, including daily, monthly, seasonal, annual, hourly, radar, precipitation, and climate-normal products. public search and mapping tools, free data orders and downloads, dataset-specific tools, bulk files, and web services; the cdo api requires a free email-issued token; certified copies for legal use may require payment. environmental exposure climate; weather; temperature; precipitation; wind; snow; humidity; climate normals; environmental monitoring; station data; time-series data; sdoh/geospatial 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 environmental temperature; extreme heat; extreme cold; precipitation; heavy rainfall; drought-related conditions; snowfall; snow depth; wind; humidity; dew point; atmospheric pressure; degree days; climate normals; routine weather observations; radar observations weather-observing locations and surrounding land areas and populations worldwide global/international weather station; city; county; state; country, depending on dataset and search other high 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 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 prism climate data; noaa storm events database; ghcn-daily; noaa local climatological data; noaa u.s. climate normals; cdc heat and health tracker; epa airdata/aqs; usgs water data for the nation; american community survey; daymet; gridmet 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 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v>
      </c>
    </row>
    <row r="85" spans="1:36" ht="28.5">
      <c r="A85" s="4" t="s">
        <v>1864</v>
      </c>
      <c r="B85" s="13" t="s">
        <v>1302</v>
      </c>
      <c r="C85" s="7" t="s">
        <v>1321</v>
      </c>
      <c r="D85" s="15" t="s">
        <v>1642</v>
      </c>
      <c r="E85" s="7" t="s">
        <v>1658</v>
      </c>
      <c r="F85" s="7" t="s">
        <v>1659</v>
      </c>
      <c r="G85" s="7" t="s">
        <v>238</v>
      </c>
      <c r="H85" s="7" t="s">
        <v>151</v>
      </c>
      <c r="I85" s="7" t="s">
        <v>824</v>
      </c>
      <c r="J85" s="7" t="s">
        <v>1660</v>
      </c>
      <c r="K85" s="7" t="s">
        <v>1661</v>
      </c>
      <c r="L85" s="7" t="s">
        <v>809</v>
      </c>
      <c r="M85" s="7" t="s">
        <v>1662</v>
      </c>
      <c r="N85" s="7" t="s">
        <v>1663</v>
      </c>
      <c r="O85" s="7" t="s">
        <v>63</v>
      </c>
      <c r="P85" s="7" t="s">
        <v>307</v>
      </c>
      <c r="Q85" s="7" t="s">
        <v>307</v>
      </c>
      <c r="R85" s="7" t="s">
        <v>67</v>
      </c>
      <c r="S85" s="7" t="s">
        <v>66</v>
      </c>
      <c r="T85" s="7" t="s">
        <v>66</v>
      </c>
      <c r="U85" s="7" t="s">
        <v>1643</v>
      </c>
      <c r="V85" s="7" t="s">
        <v>1644</v>
      </c>
      <c r="W85" s="7" t="s">
        <v>57</v>
      </c>
      <c r="X85" s="7" t="s">
        <v>57</v>
      </c>
      <c r="Y85" s="7" t="s">
        <v>1664</v>
      </c>
      <c r="Z85" s="7" t="s">
        <v>1665</v>
      </c>
      <c r="AA85" s="7" t="s">
        <v>1666</v>
      </c>
      <c r="AB85" s="7" t="s">
        <v>1667</v>
      </c>
      <c r="AC85" s="7" t="s">
        <v>1668</v>
      </c>
      <c r="AD85" s="7"/>
      <c r="AE85" s="7" t="s">
        <v>66</v>
      </c>
      <c r="AF85" s="17">
        <v>46226</v>
      </c>
      <c r="AG85" s="7" t="s">
        <v>131</v>
      </c>
      <c r="AH85" s="7" t="s">
        <v>57</v>
      </c>
      <c r="AI85" s="7"/>
      <c r="AJ85" s="7" t="str">
        <f t="shared" si="2"/>
        <v>noaa nclimgrid daily / epinoaa county dataset usgs analysis-ready daily county-level time series of area-averaged maximum, minimum, and mean temperature and precipitation derived from noaa nclimgrid-daily for climate monitoring, epidemiologic exposure assignment, and longitudinal public-health research. public direct csv and parquet downloads through noaa-hosted cloud storage; r package and interactive access options are also available; no registration or credentials required. open/public environmental exposure climate; weather; extreme heat; extreme cold; precipitation; county-level data; sdoh/geospatial; analysis-ready data; time-series data; epidemiology 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 environmental daily temperature; extreme heat; extreme cold; precipitation; heavy rainfall; drought-related conditions; flood-related climate conditions; climate variability; weather exposure residents and land areas of counties in the contiguous united states, represented through county-area-average daily climate estimates united states county county high date; year; month; day; county or regional identifier; county name; state identifier; daily maximum temperature (tmax, °c); daily minimum temperature (tmin, °c); daily average temperature (tavg, °c); daily precipitation amount (prcp, mm); preliminary or scaled data status; product version 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 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 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 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v>
      </c>
    </row>
    <row r="86" spans="1:36">
      <c r="A86" s="4" t="s">
        <v>1865</v>
      </c>
      <c r="B86" s="14" t="s">
        <v>1303</v>
      </c>
      <c r="C86" t="s">
        <v>1595</v>
      </c>
      <c r="D86" s="11" t="s">
        <v>1596</v>
      </c>
      <c r="E86" t="s">
        <v>1602</v>
      </c>
      <c r="F86" s="7" t="s">
        <v>1597</v>
      </c>
      <c r="G86" s="7" t="s">
        <v>919</v>
      </c>
      <c r="H86" s="7" t="s">
        <v>77</v>
      </c>
      <c r="I86" s="7" t="s">
        <v>824</v>
      </c>
      <c r="J86" s="7" t="s">
        <v>1598</v>
      </c>
      <c r="K86" s="7"/>
      <c r="L86" s="7" t="s">
        <v>809</v>
      </c>
      <c r="M86" s="7" t="s">
        <v>1603</v>
      </c>
      <c r="N86" s="7" t="s">
        <v>1604</v>
      </c>
      <c r="O86" s="7" t="s">
        <v>63</v>
      </c>
      <c r="P86" s="7" t="s">
        <v>1599</v>
      </c>
      <c r="Q86" s="7" t="s">
        <v>64</v>
      </c>
      <c r="R86" s="7" t="s">
        <v>67</v>
      </c>
      <c r="S86" s="7" t="s">
        <v>66</v>
      </c>
      <c r="T86" s="7" t="s">
        <v>66</v>
      </c>
      <c r="U86" s="7" t="s">
        <v>1600</v>
      </c>
      <c r="V86" s="7" t="s">
        <v>1601</v>
      </c>
      <c r="W86" s="7" t="s">
        <v>57</v>
      </c>
      <c r="X86" s="7" t="s">
        <v>57</v>
      </c>
      <c r="Y86" s="7" t="s">
        <v>1605</v>
      </c>
      <c r="Z86" s="7" t="s">
        <v>1606</v>
      </c>
      <c r="AA86" s="7" t="s">
        <v>1607</v>
      </c>
      <c r="AB86" s="7" t="s">
        <v>1608</v>
      </c>
      <c r="AC86" s="7" t="s">
        <v>1609</v>
      </c>
      <c r="AD86" s="7"/>
      <c r="AE86" s="7" t="s">
        <v>66</v>
      </c>
      <c r="AF86" s="17">
        <v>46225</v>
      </c>
      <c r="AG86" s="7" t="s">
        <v>131</v>
      </c>
      <c r="AH86" s="7" t="s">
        <v>57</v>
      </c>
      <c r="AI86" s="7"/>
      <c r="AJ86" s="7" t="e">
        <f>LOWER(_xlfn.SINGLE(_xlfn.TEXTJOIN(" ", TRUE, B86, C86, F86,#REF!, G86, I86, J86, K86, L86, M86, N86, O86, P86, Q86, X86, Y86, Z86, AA86, AB86, AC86, AD86)))</f>
        <v>#REF!</v>
      </c>
    </row>
    <row r="87" spans="1:36">
      <c r="A87" s="4" t="s">
        <v>1866</v>
      </c>
      <c r="B87" s="13" t="s">
        <v>1304</v>
      </c>
      <c r="C87" s="7" t="s">
        <v>1685</v>
      </c>
      <c r="D87" s="15" t="s">
        <v>1688</v>
      </c>
      <c r="E87" s="7" t="s">
        <v>1686</v>
      </c>
      <c r="F87" s="7" t="s">
        <v>1687</v>
      </c>
      <c r="G87" s="7" t="s">
        <v>238</v>
      </c>
      <c r="H87" s="7" t="s">
        <v>77</v>
      </c>
      <c r="I87" s="7" t="s">
        <v>824</v>
      </c>
      <c r="J87" s="7" t="s">
        <v>1689</v>
      </c>
      <c r="K87" s="7" t="s">
        <v>1690</v>
      </c>
      <c r="L87" s="7" t="s">
        <v>809</v>
      </c>
      <c r="M87" s="7" t="s">
        <v>1691</v>
      </c>
      <c r="N87" s="7" t="s">
        <v>1692</v>
      </c>
      <c r="O87" s="7" t="s">
        <v>63</v>
      </c>
      <c r="P87" s="7" t="s">
        <v>63</v>
      </c>
      <c r="Q87" s="7" t="s">
        <v>1693</v>
      </c>
      <c r="R87" s="7" t="s">
        <v>67</v>
      </c>
      <c r="S87" s="7" t="s">
        <v>66</v>
      </c>
      <c r="T87" s="7" t="s">
        <v>66</v>
      </c>
      <c r="U87" s="7" t="s">
        <v>1694</v>
      </c>
      <c r="V87" s="7" t="s">
        <v>1695</v>
      </c>
      <c r="W87" s="7" t="s">
        <v>57</v>
      </c>
      <c r="X87" s="7" t="s">
        <v>57</v>
      </c>
      <c r="Y87" s="7" t="s">
        <v>1696</v>
      </c>
      <c r="Z87" s="7" t="s">
        <v>1697</v>
      </c>
      <c r="AA87" s="7" t="s">
        <v>1698</v>
      </c>
      <c r="AB87" s="7" t="s">
        <v>1699</v>
      </c>
      <c r="AC87" s="7" t="s">
        <v>1700</v>
      </c>
      <c r="AD87" s="7"/>
      <c r="AE87" s="7" t="s">
        <v>66</v>
      </c>
      <c r="AF87" s="17">
        <v>46226</v>
      </c>
      <c r="AG87" s="7" t="s">
        <v>131</v>
      </c>
      <c r="AH87" s="7" t="s">
        <v>57</v>
      </c>
      <c r="AI87" s="7"/>
      <c r="AJ87" s="7" t="str">
        <f t="shared" si="2"/>
        <v>gridmet climatology lab, university of california, merced daily, spatially continuous gridded surface meteorological data for assigning temperature, precipitation, humidity, wind, solar radiation, evapotranspiration, vapor-pressure deficit, drought, and fire-weather conditions to locations and geographic areas. public annual netcdf downloads, wget-generated downloads, thredds/opendap services, climate engine access, usgs zarr services, and google earth engine; no approval required for direct files. open/public environmental exposure climate; weather; temperature; precipitation; humidity; wind; solar radiation; evapotranspiration; vapor pressure deficit; drought; wildfire; sdoh/geospatial; raster data; longitudinal data 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 environmental daily temperature; extreme heat; extreme cold; precipitation; heavy rainfall; humidity; vapor-pressure deficit; wind; solar radiation; evapotranspiration; drought; wildfire danger; fuel moisture; climate variability land areas and populations in the contiguous united states represented through approximately 4-kilometer gridded meteorological estimates united states united states approximately 4-kilometer raster grid cell high 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 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 prism climate data; noaa nclimgrid-daily and epinoaa; noaa climate data online; noaa storm events database; terraclimate; daymet; cdc heat and health tracker; epa airdata/aqs; usgs water data for the nation; fema national risk index; american community survey 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 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v>
      </c>
    </row>
    <row r="88" spans="1:36" ht="15">
      <c r="A88" s="4" t="s">
        <v>1867</v>
      </c>
      <c r="B88" s="14" t="s">
        <v>1305</v>
      </c>
      <c r="C88" t="s">
        <v>1305</v>
      </c>
      <c r="D88" s="15" t="s">
        <v>1625</v>
      </c>
      <c r="E88" s="7" t="s">
        <v>1626</v>
      </c>
      <c r="F88" s="7" t="s">
        <v>1627</v>
      </c>
      <c r="G88" s="7" t="s">
        <v>238</v>
      </c>
      <c r="H88" s="7" t="s">
        <v>151</v>
      </c>
      <c r="I88" s="7" t="s">
        <v>824</v>
      </c>
      <c r="J88" s="7" t="s">
        <v>1628</v>
      </c>
      <c r="K88" s="7" t="s">
        <v>1629</v>
      </c>
      <c r="L88" s="7" t="s">
        <v>106</v>
      </c>
      <c r="M88" s="7" t="s">
        <v>1630</v>
      </c>
      <c r="N88" s="7" t="s">
        <v>1631</v>
      </c>
      <c r="O88" s="7" t="s">
        <v>63</v>
      </c>
      <c r="P88" s="7" t="s">
        <v>1632</v>
      </c>
      <c r="Q88" s="7" t="s">
        <v>64</v>
      </c>
      <c r="R88" s="18" t="s">
        <v>66</v>
      </c>
      <c r="S88" s="7" t="s">
        <v>66</v>
      </c>
      <c r="T88" s="7" t="s">
        <v>66</v>
      </c>
      <c r="U88" s="7" t="s">
        <v>1633</v>
      </c>
      <c r="V88" s="7" t="s">
        <v>1634</v>
      </c>
      <c r="W88" s="7" t="s">
        <v>57</v>
      </c>
      <c r="X88" s="7" t="s">
        <v>57</v>
      </c>
      <c r="Y88" s="7" t="s">
        <v>1635</v>
      </c>
      <c r="Z88" s="7" t="s">
        <v>1636</v>
      </c>
      <c r="AA88" s="7" t="s">
        <v>1637</v>
      </c>
      <c r="AB88" s="7" t="s">
        <v>1638</v>
      </c>
      <c r="AC88" s="7" t="s">
        <v>1639</v>
      </c>
      <c r="AD88" s="7"/>
      <c r="AE88" s="7" t="s">
        <v>75</v>
      </c>
      <c r="AF88" s="17">
        <v>46225</v>
      </c>
      <c r="AG88" s="7" t="s">
        <v>131</v>
      </c>
      <c r="AH88" s="7" t="s">
        <v>77</v>
      </c>
      <c r="AI88" s="7"/>
      <c r="AJ88" s="7" t="str">
        <f t="shared" si="2"/>
        <v>noaa storm events database noaa storm events database event-based database documenting severe storms, unusual weather phenomena, and other significant meteorological events, including event timing and location, reported injuries and fatalities, property and crop damage, event magnitude, and descriptive narratives. public interactive search, narrative search, annual bulk csv files, event-location files, fatality files, documentation, and archived storm data publications; no account required. open/public environmental exposure climate; weather; natural hazards; disasters; emergency preparedness; extreme heat; flooding; injury surveillance; mortality; sdoh/geospatial; event-level data; longitudinal data 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 registry/surveillance tornadoes; hurricanes; tropical storms; floods; flash floods; coastal flooding; storm surge; extreme heat; cold exposure; drought; wildfire; lightning; hail; damaging winds; heavy rain; winter storms; ice storms; rip currents; weather-related injuries; weather-related deaths; economic damage residents and communities in the united states and territories affected by recorded severe or significant weather events; records also cover marine areas and forecast zones united states county or parish; nws forecast zone; marine zone; event point or path; state or territory other high 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 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 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 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 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v>
      </c>
    </row>
    <row r="89" spans="1:36">
      <c r="A89" s="4" t="s">
        <v>1868</v>
      </c>
      <c r="B89" s="13" t="s">
        <v>1306</v>
      </c>
      <c r="C89" s="7" t="s">
        <v>1669</v>
      </c>
      <c r="D89" s="15" t="s">
        <v>1670</v>
      </c>
      <c r="E89" s="7" t="s">
        <v>1671</v>
      </c>
      <c r="F89" s="7" t="s">
        <v>1672</v>
      </c>
      <c r="G89" s="7" t="s">
        <v>238</v>
      </c>
      <c r="H89" s="7" t="s">
        <v>151</v>
      </c>
      <c r="I89" s="7" t="s">
        <v>353</v>
      </c>
      <c r="J89" s="7" t="s">
        <v>1673</v>
      </c>
      <c r="K89" s="7" t="s">
        <v>1674</v>
      </c>
      <c r="L89" s="7" t="s">
        <v>337</v>
      </c>
      <c r="M89" s="7" t="s">
        <v>1675</v>
      </c>
      <c r="N89" s="7" t="s">
        <v>1676</v>
      </c>
      <c r="O89" s="7" t="s">
        <v>63</v>
      </c>
      <c r="P89" s="7" t="s">
        <v>1677</v>
      </c>
      <c r="Q89" s="7" t="s">
        <v>341</v>
      </c>
      <c r="R89" s="7" t="s">
        <v>67</v>
      </c>
      <c r="S89" s="7" t="s">
        <v>66</v>
      </c>
      <c r="T89" s="7" t="s">
        <v>67</v>
      </c>
      <c r="U89" s="7" t="s">
        <v>1678</v>
      </c>
      <c r="V89" s="7" t="s">
        <v>1679</v>
      </c>
      <c r="W89" s="7" t="s">
        <v>57</v>
      </c>
      <c r="X89" s="7" t="s">
        <v>57</v>
      </c>
      <c r="Y89" s="7" t="s">
        <v>1680</v>
      </c>
      <c r="Z89" s="7" t="s">
        <v>1681</v>
      </c>
      <c r="AA89" s="7" t="s">
        <v>1682</v>
      </c>
      <c r="AB89" s="7" t="s">
        <v>1683</v>
      </c>
      <c r="AC89" s="7" t="s">
        <v>1684</v>
      </c>
      <c r="AD89" s="7"/>
      <c r="AE89" s="7" t="s">
        <v>66</v>
      </c>
      <c r="AF89" s="17">
        <v>46226</v>
      </c>
      <c r="AG89" s="7" t="s">
        <v>131</v>
      </c>
      <c r="AH89" s="7" t="s">
        <v>57</v>
      </c>
      <c r="AI89" s="7" t="s">
        <v>78</v>
      </c>
      <c r="AJ89" s="7" t="str">
        <f t="shared" si="2"/>
        <v>fema national risk index fema national risk index for natural hazards 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 public fema landing page, rapt gis web map, openfema downloadable files, fema arcgis county and census-tract feature layers, and technical documentation; no account required. open/public sdoh/geospatial environmental exposure; natural hazards; disaster risk; climate; social vulnerability; community resilience; emergency preparedness; hazard mitigation; resilience planning; area-level data 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 geospatial/area-level avalanche; coastal flooding; cold wave; drought; earthquake; hail; heat wave; hurricane; ice storm; inland flooding; landslide; lightning; strong wind; tornado; tsunami; volcanic activity; wildfire; winter weather; expected annual loss; social vulnerability; community resilience residents, buildings, agricultural assets, and communities in u.s. counties and census tracts, represented through area-level hazard exposure, expected annual loss, social vulnerability, and community resilience measures united states census tract; county; tribal census tract; state-level expected annual loss summaries, depending on product census tract high 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 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 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 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 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v>
      </c>
    </row>
    <row r="90" spans="1:36" ht="28.5">
      <c r="A90" s="4" t="s">
        <v>1869</v>
      </c>
      <c r="B90" s="14" t="s">
        <v>1307</v>
      </c>
      <c r="C90" s="7" t="s">
        <v>1701</v>
      </c>
      <c r="D90" s="15" t="s">
        <v>1702</v>
      </c>
      <c r="E90" s="7" t="s">
        <v>1703</v>
      </c>
      <c r="F90" s="7" t="s">
        <v>1704</v>
      </c>
      <c r="G90" s="7" t="s">
        <v>238</v>
      </c>
      <c r="H90" s="7" t="s">
        <v>77</v>
      </c>
      <c r="I90" s="7" t="s">
        <v>824</v>
      </c>
      <c r="J90" s="7" t="s">
        <v>1705</v>
      </c>
      <c r="K90" s="7" t="s">
        <v>1706</v>
      </c>
      <c r="L90" s="7" t="s">
        <v>337</v>
      </c>
      <c r="M90" s="7" t="s">
        <v>1707</v>
      </c>
      <c r="N90" s="7" t="s">
        <v>1708</v>
      </c>
      <c r="O90" s="7" t="s">
        <v>63</v>
      </c>
      <c r="P90" s="7" t="s">
        <v>1709</v>
      </c>
      <c r="Q90" s="7" t="s">
        <v>64</v>
      </c>
      <c r="R90" s="7" t="s">
        <v>67</v>
      </c>
      <c r="S90" s="7" t="s">
        <v>66</v>
      </c>
      <c r="T90" s="7" t="s">
        <v>66</v>
      </c>
      <c r="U90" s="7" t="s">
        <v>1710</v>
      </c>
      <c r="V90" s="7" t="s">
        <v>1711</v>
      </c>
      <c r="W90" s="7" t="s">
        <v>57</v>
      </c>
      <c r="X90" s="7" t="s">
        <v>57</v>
      </c>
      <c r="Y90" s="7" t="s">
        <v>1712</v>
      </c>
      <c r="Z90" s="7" t="s">
        <v>1713</v>
      </c>
      <c r="AA90" s="7" t="s">
        <v>1714</v>
      </c>
      <c r="AB90" s="7" t="s">
        <v>1715</v>
      </c>
      <c r="AC90" s="7" t="s">
        <v>1716</v>
      </c>
      <c r="AD90" s="7"/>
      <c r="AE90" s="7"/>
      <c r="AF90" s="17">
        <v>46226</v>
      </c>
      <c r="AG90" s="7" t="s">
        <v>131</v>
      </c>
      <c r="AH90" s="7" t="s">
        <v>57</v>
      </c>
      <c r="AI90" s="7" t="s">
        <v>78</v>
      </c>
      <c r="AJ90" s="7" t="str">
        <f t="shared" si="2"/>
        <v>usgs / mrlc national land cover database (nlcd) mrlc annual national land cover database annual 30-meter raster data describing land cover, land-cover change, classification confidence, and impervious surfaces for analyzing urbanization, development, vegetation, wetlands, environmental context, and changes in the land surface over time. public mrlc viewer and area-of-interest downloads, geotiff raster files, usgs earthexplorer, sciencebase archives, aws cloud storage, and geospatial web services; no approval required. open/public environmental exposure sdoh/geospatial; land cover; land use; built environment; impervious surface; urbanization; greenspace; forest; wetlands; agriculture; remote sensing; raster data; longitudinal data 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 geospatial/area-level land cover; land-cover change; developed land; urbanization; impervious surfaces; roads; open water; forest; shrubland; grassland; pasture; cultivated crops; wetlands; greenspace; land-surface disturbance land areas and communities in the conterminous united states represented through 30-meter land-cover raster cells united states 30-meter raster grid cell; current annual nlcd core coverage is the conterminous united states other high 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 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 epa enviroatlas; epa ejscreen; cdc/atsdr environmental justice index; american community survey; census tiger/line; prism climate data; gridmet; noaa nclimgrid/epinoaa; fema national risk index; epa waters/nhdplus; usgs landsat; usda cropland data layer; usfs tree canopy cover data 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 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v>
      </c>
    </row>
    <row r="91" spans="1:36" ht="28.5">
      <c r="A91" s="4" t="s">
        <v>1870</v>
      </c>
      <c r="B91" s="13" t="s">
        <v>1308</v>
      </c>
      <c r="C91" t="s">
        <v>1717</v>
      </c>
      <c r="D91" s="15" t="s">
        <v>1718</v>
      </c>
      <c r="E91" s="7" t="s">
        <v>1719</v>
      </c>
      <c r="F91" s="7" t="s">
        <v>1720</v>
      </c>
      <c r="G91" s="7" t="s">
        <v>238</v>
      </c>
      <c r="H91" s="7" t="s">
        <v>77</v>
      </c>
      <c r="I91" s="7" t="s">
        <v>353</v>
      </c>
      <c r="J91" s="7" t="s">
        <v>1721</v>
      </c>
      <c r="K91" s="7" t="s">
        <v>1722</v>
      </c>
      <c r="L91" s="7" t="s">
        <v>337</v>
      </c>
      <c r="M91" s="7" t="s">
        <v>1723</v>
      </c>
      <c r="N91" s="7" t="s">
        <v>1724</v>
      </c>
      <c r="O91" s="7" t="s">
        <v>63</v>
      </c>
      <c r="P91" s="7" t="s">
        <v>1725</v>
      </c>
      <c r="Q91" s="7" t="s">
        <v>64</v>
      </c>
      <c r="R91" s="7" t="s">
        <v>67</v>
      </c>
      <c r="S91" s="7" t="s">
        <v>66</v>
      </c>
      <c r="T91" s="7" t="s">
        <v>67</v>
      </c>
      <c r="U91" t="s">
        <v>1727</v>
      </c>
      <c r="V91" s="7" t="s">
        <v>1726</v>
      </c>
      <c r="W91" s="7" t="s">
        <v>57</v>
      </c>
      <c r="X91" s="7" t="s">
        <v>77</v>
      </c>
      <c r="Y91" s="7" t="s">
        <v>1728</v>
      </c>
      <c r="Z91" s="7" t="s">
        <v>1729</v>
      </c>
      <c r="AA91" s="7" t="s">
        <v>1730</v>
      </c>
      <c r="AB91" s="7" t="s">
        <v>1731</v>
      </c>
      <c r="AC91" s="7" t="s">
        <v>1732</v>
      </c>
      <c r="AD91" s="7"/>
      <c r="AE91" s="7" t="s">
        <v>75</v>
      </c>
      <c r="AF91" s="17">
        <v>46226</v>
      </c>
      <c r="AG91" s="7" t="s">
        <v>131</v>
      </c>
      <c r="AH91" s="7" t="s">
        <v>151</v>
      </c>
      <c r="AI91" s="7" t="s">
        <v>78</v>
      </c>
      <c r="AJ91" s="7" t="str">
        <f t="shared" si="2"/>
        <v>usgs protected areas database of the u.s. (pad-us) usgs pad-us data overview and downloads national geospatial inventory of public lands, protected areas, conservation easements, marine protected areas, management designations, and other open-space lands and waters, including conservation status, ownership or management, and general public-access information. public national and state geodatabases, vector and raster analysis files, kmz files, arcgis web services, interactive data explorer, and summary-statistics dashboard. open/public sdoh/geospatial environmental exposure; protected areas; public lands; parks; open space; greenspace; recreation access; biodiversity; conservation; land management; cultural resources; emergency planning 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 geospatial/area-level protected lands; public lands; parks; open space; recreation access; biodiversity conservation; land ownership; land management; conservation easements; wilderness; natural-resource management; marine protected areas; cultural and historic areas residents and communities located near, or potentially served by, public lands, protected areas, parks, conservation lands, and other open-space lands and waters united states protected-area or management-boundary polygon; public-land parcel; conservation easement; marine protected area; county; state other medium 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 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 annual national land cover database; epa enviroatlas; trust for public land parkserve; american community survey; census tiger/line; cdc/atsdr environmental justice index; epa ejscreen; fema national risk index; usgs national map; state and local parks or recreation datasets 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 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v>
      </c>
    </row>
    <row r="92" spans="1:36" ht="28.5">
      <c r="A92" s="4" t="s">
        <v>1871</v>
      </c>
      <c r="B92" s="14" t="s">
        <v>1309</v>
      </c>
      <c r="C92" s="7" t="s">
        <v>1322</v>
      </c>
      <c r="D92" s="15" t="s">
        <v>1733</v>
      </c>
      <c r="E92" s="7" t="s">
        <v>1734</v>
      </c>
      <c r="F92" s="7" t="s">
        <v>1735</v>
      </c>
      <c r="G92" s="7" t="s">
        <v>238</v>
      </c>
      <c r="H92" s="7" t="s">
        <v>77</v>
      </c>
      <c r="I92" s="7" t="s">
        <v>824</v>
      </c>
      <c r="J92" s="7" t="s">
        <v>1736</v>
      </c>
      <c r="K92" s="7" t="s">
        <v>1737</v>
      </c>
      <c r="L92" s="7" t="s">
        <v>809</v>
      </c>
      <c r="M92" s="7" t="s">
        <v>1736</v>
      </c>
      <c r="N92" s="7" t="s">
        <v>1737</v>
      </c>
      <c r="O92" s="7" t="s">
        <v>63</v>
      </c>
      <c r="P92" t="s">
        <v>1738</v>
      </c>
      <c r="Q92" s="7" t="s">
        <v>307</v>
      </c>
      <c r="R92" s="7" t="s">
        <v>67</v>
      </c>
      <c r="S92" s="7" t="s">
        <v>66</v>
      </c>
      <c r="T92" s="7" t="s">
        <v>66</v>
      </c>
      <c r="U92" s="7" t="s">
        <v>1739</v>
      </c>
      <c r="V92" s="7" t="s">
        <v>1740</v>
      </c>
      <c r="W92" s="7" t="s">
        <v>77</v>
      </c>
      <c r="X92" s="7" t="s">
        <v>77</v>
      </c>
      <c r="Y92" s="7" t="s">
        <v>1741</v>
      </c>
      <c r="Z92" s="7" t="s">
        <v>1742</v>
      </c>
      <c r="AA92" s="7" t="s">
        <v>1743</v>
      </c>
      <c r="AB92" s="7" t="s">
        <v>1744</v>
      </c>
      <c r="AC92" s="7" t="s">
        <v>1745</v>
      </c>
      <c r="AD92" s="7"/>
      <c r="AE92" s="7" t="s">
        <v>75</v>
      </c>
      <c r="AF92" s="17">
        <v>46226</v>
      </c>
      <c r="AG92" s="7" t="s">
        <v>131</v>
      </c>
      <c r="AH92" s="7" t="s">
        <v>77</v>
      </c>
      <c r="AI92" s="7" t="s">
        <v>78</v>
      </c>
      <c r="AJ92" s="7" t="str">
        <f t="shared" si="2"/>
        <v>usgs estimated annual agricultural pesticide use usgs / mrlc 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 public interactive pesticide maps, annual county-level tab-delimited data files, state-level crop-group tables, usgs data releases, metadata, and methodological documentation; no registration required. open/public environmental exposure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environmental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united states county; agricultural land within county for mapped displays; state and crop group for selected summaries county medium pesticide compound name; year; state fips code; county fips code; low estimated use in kilograms; high estimated use in kilograms; state; county; crop or crop group in state-level files; mapped agricultural area; preliminary or final estimate status 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 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 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 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v>
      </c>
    </row>
    <row r="93" spans="1:36" ht="28.5">
      <c r="A93" s="4" t="s">
        <v>1872</v>
      </c>
      <c r="B93" s="14" t="s">
        <v>1310</v>
      </c>
      <c r="C93" s="7" t="s">
        <v>1808</v>
      </c>
      <c r="D93" s="11" t="s">
        <v>1809</v>
      </c>
      <c r="E93" t="s">
        <v>1810</v>
      </c>
      <c r="F93" t="s">
        <v>1811</v>
      </c>
      <c r="G93" s="7" t="s">
        <v>919</v>
      </c>
      <c r="H93" t="s">
        <v>77</v>
      </c>
      <c r="I93" t="s">
        <v>951</v>
      </c>
      <c r="J93" t="s">
        <v>1812</v>
      </c>
      <c r="K93" t="s">
        <v>1813</v>
      </c>
      <c r="L93" s="7" t="s">
        <v>337</v>
      </c>
      <c r="M93" t="s">
        <v>1814</v>
      </c>
      <c r="N93" t="s">
        <v>1815</v>
      </c>
      <c r="O93" t="s">
        <v>1816</v>
      </c>
      <c r="P93" s="7" t="s">
        <v>1816</v>
      </c>
      <c r="Q93" t="s">
        <v>64</v>
      </c>
      <c r="R93" t="s">
        <v>67</v>
      </c>
      <c r="S93" t="s">
        <v>66</v>
      </c>
      <c r="T93" t="s">
        <v>67</v>
      </c>
      <c r="U93" t="s">
        <v>1817</v>
      </c>
      <c r="V93" t="s">
        <v>1818</v>
      </c>
      <c r="W93" t="s">
        <v>57</v>
      </c>
      <c r="X93" t="s">
        <v>57</v>
      </c>
      <c r="Y93" t="s">
        <v>1819</v>
      </c>
      <c r="Z93" t="s">
        <v>1820</v>
      </c>
      <c r="AA93" t="s">
        <v>1821</v>
      </c>
      <c r="AB93" t="s">
        <v>1822</v>
      </c>
      <c r="AC93" t="s">
        <v>1823</v>
      </c>
      <c r="AE93" s="7" t="s">
        <v>66</v>
      </c>
      <c r="AF93" s="17">
        <v>46226</v>
      </c>
      <c r="AG93" t="s">
        <v>131</v>
      </c>
      <c r="AH93" t="s">
        <v>57</v>
      </c>
      <c r="AI93" s="7" t="s">
        <v>78</v>
      </c>
      <c r="AJ93" s="7" t="str">
        <f t="shared" si="2"/>
        <v>south carolina department of environmental services gis hub scdes gis hub statewide environmental gis hub for discovering, viewing, analyzing, downloading, and accessing scdes maps, dashboards, applications, datasets, apis, and gis services public access without authentication for public datasets; downloads may include csv, kml, zip, geojson, geotiff, and png, with geoservices, wms, and wfs links available for applicable layers. open/public with terms south carolina/local data environmental exposure; sdoh/geospatial; air quality; water quality; coastal resources; land and waste; permits; monitoring; regulatory facilities south carolina environmental gis, scdes, air quality, water quality, coastal gis, hazardous waste, landfills, mines, permits, monitoring stations, pfas, dams, watersheds, arcgis geospatial/area-level air, water, coastal management, land and waste management, environmental monitoring, regulated facilities, permits, contamination, watersheds and environmental hazards south carolina environmental features, monitoring locations, regulated facilities, permitted sites, water bodies, coastal areas and communities monitoring site, facility, permit location, water body, watershed, coastal feature, parcel, point, line, polygon or raster; varies by layer monitoring site, facility, permit location, water body, watershed, coastal feature, parcel, point, line, polygon or raster; varies by layer other high coordinates, facility or site name, permit identifiers, environmental-program category, monitoring location, watershed, water body, county, status, boundaries, pollutant or parameter attributes and application-specific measures environmental-exposure linkage; proximity and buffer analysis; mapping regulated facilities; watershed and coastal analyses; environmental-justice research; identifying permits, monitoring sites and potential exposure sources epa echo; epa frs; epa tri; water quality portal; attains; how’s my waterway; scdnr gis open data; annual nlcd; fema national risk index; american community survey 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 public data generally do not require authentication, but service use may be logged. review each layer’s metadata, attribution and terms; do not attempt to access nonpublic underlying systems or data.</v>
      </c>
    </row>
    <row r="94" spans="1:36" ht="28.5">
      <c r="A94" s="4" t="s">
        <v>1873</v>
      </c>
      <c r="B94" s="13" t="s">
        <v>1311</v>
      </c>
      <c r="C94" s="7" t="s">
        <v>1323</v>
      </c>
      <c r="D94" s="15" t="s">
        <v>1824</v>
      </c>
      <c r="E94" s="7" t="s">
        <v>1825</v>
      </c>
      <c r="F94" s="7" t="s">
        <v>1826</v>
      </c>
      <c r="G94" s="7" t="s">
        <v>238</v>
      </c>
      <c r="H94" s="7" t="s">
        <v>77</v>
      </c>
      <c r="I94" s="7" t="s">
        <v>951</v>
      </c>
      <c r="J94" s="7" t="s">
        <v>1827</v>
      </c>
      <c r="K94" s="7" t="s">
        <v>1828</v>
      </c>
      <c r="L94" s="7" t="s">
        <v>809</v>
      </c>
      <c r="M94" s="7" t="s">
        <v>1829</v>
      </c>
      <c r="N94" s="7" t="s">
        <v>1830</v>
      </c>
      <c r="O94" s="7" t="s">
        <v>956</v>
      </c>
      <c r="P94" s="7" t="s">
        <v>1831</v>
      </c>
      <c r="Q94" s="7" t="s">
        <v>64</v>
      </c>
      <c r="R94" s="7" t="s">
        <v>67</v>
      </c>
      <c r="S94" s="7" t="s">
        <v>66</v>
      </c>
      <c r="T94" s="7" t="s">
        <v>66</v>
      </c>
      <c r="U94" s="7" t="s">
        <v>1832</v>
      </c>
      <c r="V94" s="7" t="s">
        <v>1833</v>
      </c>
      <c r="W94" s="7" t="s">
        <v>57</v>
      </c>
      <c r="X94" s="7" t="s">
        <v>57</v>
      </c>
      <c r="Y94" s="7" t="s">
        <v>1834</v>
      </c>
      <c r="Z94" s="7" t="s">
        <v>1835</v>
      </c>
      <c r="AA94" s="7" t="s">
        <v>1836</v>
      </c>
      <c r="AB94" s="7" t="s">
        <v>1837</v>
      </c>
      <c r="AC94" s="7" t="s">
        <v>1838</v>
      </c>
      <c r="AD94" s="7"/>
      <c r="AE94" s="7" t="s">
        <v>75</v>
      </c>
      <c r="AF94" s="17">
        <v>46226</v>
      </c>
      <c r="AG94" s="7" t="s">
        <v>131</v>
      </c>
      <c r="AH94" s="7" t="s">
        <v>77</v>
      </c>
      <c r="AI94" s="7" t="s">
        <v>78</v>
      </c>
      <c r="AJ94" s="7" t="str">
        <f t="shared" si="2"/>
        <v>south carolina water monitoring portal usda ers arcgis-based statewide application for visualizing, filtering and downloading south carolina water-quality monitoring results public interactive map with filters for water-quality category, sample date, submitting organization, county, watershed and sub-watershed; users may download selected data. open/public south carolina/local data environmental exposure; water quality; surface water; monitoring sites; watersheds; bacteria; nutrients; impaired waters; tmdls south carolina water quality, water monitoring, sc sea grant, college of charleston, water quality portal, monitoring stations, bacteria, nutrients, county, huc10, huc12, watershed, impaired waters, tmdl environmental surface-water quality, monitoring locations, physical and chemical parameters, bacteria, nutrients, watershed conditions, impaired waters and tmdls south carolina water-quality monitoring sites, samples, water bodies and watersheds south carolina monitoring site, sample location, county, watershed, sub-watershed and water body other high monitoring-site identifier, coordinates, collection date, submitting organization, county, watershed, parameter or characteristic name, result value, unit, sample medium and water-quality category link water-quality measurements to communities or health outcomes; identify monitoring coverage; evaluate spatial and temporal water-quality trends; examine bacteria or nutrient measurements; support watershed and environmental-exposure studies national water quality portal; scdes gis hub; scdes watershed atlas; attains; how’s my waterway; waters; usgs stream gauges; census tiger/line; american community survey 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 public environmental-monitoring data. retain the submitting-organization identifier, site identifier, result qualifiers, units, analytical method and detection-limit fields. use the original provider or national water quality portal for reproducible extraction and source verification</v>
      </c>
    </row>
    <row r="95" spans="1:36" ht="42.75">
      <c r="A95" s="4" t="s">
        <v>1874</v>
      </c>
      <c r="B95" s="14" t="s">
        <v>1312</v>
      </c>
      <c r="C95" s="7" t="s">
        <v>1746</v>
      </c>
      <c r="D95" s="15" t="s">
        <v>1747</v>
      </c>
      <c r="E95" s="7" t="s">
        <v>1748</v>
      </c>
      <c r="F95" s="7" t="s">
        <v>1749</v>
      </c>
      <c r="G95" s="7" t="s">
        <v>919</v>
      </c>
      <c r="H95" s="7" t="s">
        <v>77</v>
      </c>
      <c r="I95" s="7" t="s">
        <v>951</v>
      </c>
      <c r="J95" s="7" t="s">
        <v>1750</v>
      </c>
      <c r="K95" s="7" t="s">
        <v>1751</v>
      </c>
      <c r="L95" s="7" t="s">
        <v>337</v>
      </c>
      <c r="M95" s="7" t="s">
        <v>1752</v>
      </c>
      <c r="N95" s="7" t="s">
        <v>1753</v>
      </c>
      <c r="O95" s="7" t="s">
        <v>956</v>
      </c>
      <c r="P95" s="7" t="s">
        <v>1754</v>
      </c>
      <c r="Q95" s="7" t="s">
        <v>64</v>
      </c>
      <c r="R95" s="7" t="s">
        <v>67</v>
      </c>
      <c r="S95" s="7" t="s">
        <v>66</v>
      </c>
      <c r="T95" s="7" t="s">
        <v>67</v>
      </c>
      <c r="U95" s="7" t="s">
        <v>1755</v>
      </c>
      <c r="V95" s="7" t="s">
        <v>1756</v>
      </c>
      <c r="W95" s="7" t="s">
        <v>57</v>
      </c>
      <c r="X95" s="7" t="s">
        <v>57</v>
      </c>
      <c r="Y95" s="7" t="s">
        <v>1757</v>
      </c>
      <c r="Z95" s="7" t="s">
        <v>1758</v>
      </c>
      <c r="AA95" s="7" t="s">
        <v>1759</v>
      </c>
      <c r="AB95" s="7" t="s">
        <v>1760</v>
      </c>
      <c r="AC95" s="7" t="s">
        <v>1761</v>
      </c>
      <c r="AD95" s="7"/>
      <c r="AE95" s="7" t="s">
        <v>66</v>
      </c>
      <c r="AF95" s="17">
        <v>46226</v>
      </c>
      <c r="AG95" s="7" t="s">
        <v>131</v>
      </c>
      <c r="AH95" s="7" t="s">
        <v>57</v>
      </c>
      <c r="AI95" s="7" t="s">
        <v>78</v>
      </c>
      <c r="AJ95" s="7" t="str">
        <f t="shared" si="2"/>
        <v>south carolina department of natural resources gis open data scdnr arcgis online statewide gis layers, web maps, applications and spatial services covering natural resources, geology, hydrology, wildlife, habitats, public lands, elevation and related environmental features public arcgis online content, web maps, map services and downloadable gis products; availability and formats vary by layer, and some specialized products require a request open/public with terms south carolina/local data environmental exposure; sdoh/geospatial; hydrology; geology; wildlife; habitats; public lands; elevation south carolina gis, scdnr, natural resources, wildlife, habitat, hydrology, geology, public lands, lidar, elevation, wetlands, coastal resources, arcgis geospatial/area-level natural resources, land and water resources, biodiversity, coastal resources, geology, elevation, managed lands and environmental context south carolina environment, natural resources, wildlife habitats, water resources, land areas and managed properties south carolina statewide layers; county; watershed; parcel or managed-land tract; point, line, polygon, raster and site-specific features other high coordinates, boundaries, land ownership or management, habitat type, hydrography, elevation, geology, wells, protected lands, species or biological resources and layer-specific attributes environmental exposure linkage; proximity and buffer analysis; rural and natural-resource context; watershed linkage; public-land access; habitat and coastal analyses; map development scdes gis hub; epa enviroatlas; annual nlcd; pad-us; wqp; fema national risk index; census tiger/line; acs broad portal rather than one standardized dataset; metadata, dates, resolution, completeness and update schedules differ by layer; boundaries may not be legally authoritative; some older products remain available; specialized gis software may be required public data are generally provided as-is; review each layer’s metadata, use limitations, attribution requirements and positional-accuracy statements before analysis</v>
      </c>
    </row>
    <row r="96" spans="1:36" ht="28.5">
      <c r="A96" s="4" t="s">
        <v>1875</v>
      </c>
      <c r="B96" s="13" t="s">
        <v>1313</v>
      </c>
      <c r="C96" s="7" t="s">
        <v>1324</v>
      </c>
      <c r="D96" s="15" t="s">
        <v>948</v>
      </c>
      <c r="E96" s="7" t="s">
        <v>1762</v>
      </c>
      <c r="F96" s="7" t="s">
        <v>1763</v>
      </c>
      <c r="G96" s="7" t="s">
        <v>238</v>
      </c>
      <c r="H96" s="7" t="s">
        <v>151</v>
      </c>
      <c r="I96" s="7" t="s">
        <v>951</v>
      </c>
      <c r="J96" s="7" t="s">
        <v>1764</v>
      </c>
      <c r="K96" s="7" t="s">
        <v>1765</v>
      </c>
      <c r="L96" s="7" t="s">
        <v>304</v>
      </c>
      <c r="M96" s="7" t="s">
        <v>1766</v>
      </c>
      <c r="N96" s="7" t="s">
        <v>1767</v>
      </c>
      <c r="O96" s="7" t="s">
        <v>956</v>
      </c>
      <c r="P96" s="7" t="s">
        <v>1768</v>
      </c>
      <c r="Q96" s="7" t="s">
        <v>308</v>
      </c>
      <c r="R96" s="7" t="s">
        <v>67</v>
      </c>
      <c r="S96" s="7" t="s">
        <v>66</v>
      </c>
      <c r="T96" s="7" t="s">
        <v>66</v>
      </c>
      <c r="U96" s="7" t="s">
        <v>1769</v>
      </c>
      <c r="V96" s="7" t="s">
        <v>1770</v>
      </c>
      <c r="W96" s="7" t="s">
        <v>57</v>
      </c>
      <c r="X96" s="7" t="s">
        <v>57</v>
      </c>
      <c r="Y96" s="7" t="s">
        <v>1771</v>
      </c>
      <c r="Z96" s="7" t="s">
        <v>1772</v>
      </c>
      <c r="AA96" s="7" t="s">
        <v>1773</v>
      </c>
      <c r="AB96" s="7" t="s">
        <v>1774</v>
      </c>
      <c r="AC96" s="7" t="s">
        <v>1775</v>
      </c>
      <c r="AD96" s="7"/>
      <c r="AE96" s="7" t="s">
        <v>66</v>
      </c>
      <c r="AF96" s="17">
        <v>46226</v>
      </c>
      <c r="AG96" s="7" t="s">
        <v>131</v>
      </c>
      <c r="AH96" s="7" t="s">
        <v>57</v>
      </c>
      <c r="AI96" s="7" t="s">
        <v>78</v>
      </c>
      <c r="AJ96" s="7" t="str">
        <f t="shared" si="2"/>
        <v>south carolina dph data, maps, reports sc sea grant / college of charleston central portal for south carolina public-health dashboards, surveillance reports, statistics, maps and topic-specific data products public dashboards, reports, maps and downloadable summary tables; confidential or record-level health data are not generally distributed through the public portal open/public south carolina/local data chronic disease; cancer; maternal/child health; mental health; substance use; hiv/infectious disease; environmental health; vital statistics south carolina public health, scdph, health dashboard, county health, vital statistics, disease surveillance, hiv, aids, std, mortality, births, environmental health reports/dashboard population health, disease surveillance, mortality, morbidity, maternal and child health, infectious disease, hiv/stis, overdose, environmental health and health-care indicators south carolina residents and topic-specific subpopulations represented in public-health surveillance systems south carolina state, county, health region and other topic-specific reporting geographies report/dashboard high counts, rates, percentages, prevalence, incidence, mortality, demographics, age, sex, race/ethnicity, county, year, disease indicators, risk factors and health outcomes county health profiles; public-health needs assessment; disease-trend analysis; hiv and infectious-disease context; disparity analysis; surveillance summaries; grant and program planning cdc places; cdc wonder; cdc atlasplus; brfss; acs; county health rankings; south carolina health compass; sc tracking; south carolina vital-statistics reports broad collection rather than one harmonized dataset; definitions, denominators, periods and update schedules differ by program; dashboards may suppress unstable or confidential estimates; some reports provide pdfs rather than analysis-ready files public products are primarily aggregated or de-identified; small counts may be suppressed; access to identifiable surveillance, vital-record or patient-level data requires separate authorization and governance review</v>
      </c>
    </row>
    <row r="97" spans="1:36" ht="42.75">
      <c r="A97" s="4" t="s">
        <v>1876</v>
      </c>
      <c r="B97" s="14" t="s">
        <v>1312</v>
      </c>
      <c r="C97" s="7" t="s">
        <v>1791</v>
      </c>
      <c r="D97" s="15" t="s">
        <v>1776</v>
      </c>
      <c r="E97" s="7" t="s">
        <v>1777</v>
      </c>
      <c r="F97" s="7" t="s">
        <v>1778</v>
      </c>
      <c r="G97" s="7" t="s">
        <v>238</v>
      </c>
      <c r="H97" s="7" t="s">
        <v>151</v>
      </c>
      <c r="I97" s="7" t="s">
        <v>951</v>
      </c>
      <c r="J97" s="7" t="s">
        <v>1779</v>
      </c>
      <c r="K97" s="7" t="s">
        <v>1780</v>
      </c>
      <c r="L97" s="7" t="s">
        <v>337</v>
      </c>
      <c r="M97" s="7" t="s">
        <v>1781</v>
      </c>
      <c r="N97" s="7" t="s">
        <v>1782</v>
      </c>
      <c r="O97" s="7" t="s">
        <v>956</v>
      </c>
      <c r="P97" s="7" t="s">
        <v>1783</v>
      </c>
      <c r="Q97" s="7" t="s">
        <v>64</v>
      </c>
      <c r="R97" s="7" t="s">
        <v>67</v>
      </c>
      <c r="S97" s="7" t="s">
        <v>66</v>
      </c>
      <c r="T97" s="7" t="s">
        <v>67</v>
      </c>
      <c r="U97" s="7" t="s">
        <v>1784</v>
      </c>
      <c r="V97" s="7" t="s">
        <v>1785</v>
      </c>
      <c r="W97" s="7" t="s">
        <v>57</v>
      </c>
      <c r="X97" s="7" t="s">
        <v>57</v>
      </c>
      <c r="Y97" s="7" t="s">
        <v>1786</v>
      </c>
      <c r="Z97" s="7" t="s">
        <v>1787</v>
      </c>
      <c r="AA97" s="7" t="s">
        <v>1788</v>
      </c>
      <c r="AB97" s="7" t="s">
        <v>1789</v>
      </c>
      <c r="AC97" s="7" t="s">
        <v>1790</v>
      </c>
      <c r="AD97" s="7"/>
      <c r="AE97" s="7" t="s">
        <v>66</v>
      </c>
      <c r="AF97" s="17">
        <v>46226</v>
      </c>
      <c r="AG97" s="7" t="s">
        <v>131</v>
      </c>
      <c r="AH97" s="7" t="s">
        <v>57</v>
      </c>
      <c r="AI97" s="7" t="s">
        <v>78</v>
      </c>
      <c r="AJ97" s="7" t="str">
        <f>LOWER(_xlfn.SINGLE(_xlfn.TEXTJOIN(" ", TRUE, B93, C93, E97, F97, G97, I97, J97, K97, L97, M97, N97, O97, P97, Q97, X97, Y97, Z97, AA97, AB97, AC97, AD97)))</f>
        <v>south carolina department of environmental services gis hub scdes gis hub public gis hub for discovering, viewing, downloading, and accessing south carolina natural-resource and environmental spatial datasets public arcgis hub; downloadable formats include csv, kml, zip, geojson, geotiff, and png; geoservices, wms, wfs, and other api links may be available by layer open/public south carolina/local data environmental exposure; sdoh/geospatial; land cover; geology; hydrology; biodiversity; wildlife; coastal resources; public lands scdnr, south carolina gis, natural resources, environmental gis, geology, hydrology, wildlife, habitat, public lands, coastal resources, land cover, lidar, arcgis geospatial/area-level natural resources, land cover, geology, elevation, hydrography, habitats, wildlife, fisheries, coastal resources, public lands and recreational access south carolina lands, waters, natural resources, habitats, wildlife populations and managed properties south carolina points, sites, lines, polygons, watersheds, counties, managed-land tracts and raster grid cells; varies by layer other high coordinates, feature boundaries, area, land-cover class, elevation, geology, hydrography, habitat type, species-related attributes, ownership or management status, facility or access-point characteristics environmental and geographic linkage; proximity and buffer analysis; watershed context; habitat and biodiversity research; public-land and recreation access; rural and coastal analyses scdes gis hub; annual nlcd; pad-us; water quality portal; prism; gridmet; fema national risk index; census tiger/line; american community survey portal contains many independently produced layers; vintages, completeness, resolution, coordinate systems and update schedules differ; some layers are historical; mapped boundaries may not represent legal property boundaries review each layer’s metadata, attribution, license and use constraints; retain source agency and dataset version; do not treat reference boundaries as legally authoritative</v>
      </c>
    </row>
    <row r="98" spans="1:36" ht="28.5">
      <c r="A98" s="4" t="s">
        <v>1877</v>
      </c>
      <c r="B98" s="13" t="s">
        <v>1313</v>
      </c>
      <c r="C98" s="7" t="s">
        <v>1792</v>
      </c>
      <c r="D98" s="15" t="s">
        <v>1793</v>
      </c>
      <c r="E98" s="7" t="s">
        <v>1794</v>
      </c>
      <c r="F98" s="7" t="s">
        <v>1795</v>
      </c>
      <c r="G98" s="7" t="s">
        <v>238</v>
      </c>
      <c r="H98" s="7" t="s">
        <v>151</v>
      </c>
      <c r="I98" s="7" t="s">
        <v>951</v>
      </c>
      <c r="J98" s="7" t="s">
        <v>1796</v>
      </c>
      <c r="K98" s="7" t="s">
        <v>1797</v>
      </c>
      <c r="L98" s="7" t="s">
        <v>304</v>
      </c>
      <c r="M98" s="7" t="s">
        <v>1798</v>
      </c>
      <c r="N98" s="7" t="s">
        <v>1799</v>
      </c>
      <c r="O98" s="7" t="s">
        <v>956</v>
      </c>
      <c r="P98" s="7" t="s">
        <v>1800</v>
      </c>
      <c r="Q98" s="7" t="s">
        <v>308</v>
      </c>
      <c r="R98" s="7" t="s">
        <v>67</v>
      </c>
      <c r="S98" s="7" t="s">
        <v>66</v>
      </c>
      <c r="T98" s="7" t="s">
        <v>67</v>
      </c>
      <c r="U98" s="7" t="s">
        <v>1801</v>
      </c>
      <c r="V98" s="7" t="s">
        <v>1802</v>
      </c>
      <c r="W98" s="7" t="s">
        <v>77</v>
      </c>
      <c r="X98" s="7" t="s">
        <v>57</v>
      </c>
      <c r="Y98" s="7" t="s">
        <v>1803</v>
      </c>
      <c r="Z98" s="7" t="s">
        <v>1804</v>
      </c>
      <c r="AA98" s="7" t="s">
        <v>1805</v>
      </c>
      <c r="AB98" s="7" t="s">
        <v>1806</v>
      </c>
      <c r="AC98" s="7" t="s">
        <v>1807</v>
      </c>
      <c r="AD98" s="7"/>
      <c r="AE98" s="7" t="s">
        <v>75</v>
      </c>
      <c r="AF98" s="17">
        <v>46226</v>
      </c>
      <c r="AG98" s="7" t="s">
        <v>131</v>
      </c>
      <c r="AH98" s="7" t="s">
        <v>77</v>
      </c>
      <c r="AI98" s="7" t="s">
        <v>78</v>
      </c>
      <c r="AJ98" s="7" t="str">
        <f t="shared" ref="AJ98" si="3">LOWER(_xlfn.SINGLE(_xlfn.TEXTJOIN(" ", TRUE, B98, C98, E98, F98, G98, I98, J98, K98, L98, M98, N98, O98, P98, Q98, X98, Y98, Z98, AA98, AB98, AC98, AD98)))</f>
        <v>south carolina dph data, maps, reports data, maps, reports public landing page for interactive health applications, service-location maps, monitoring tools, assessments and other south carolina public-health mapping products public web applications and interactive maps; download, api and export functionality vary by individual application; no unified bulk download open/public south carolina/local data hiv/infectious disease; health care utilization/cost; sdoh/geospatial; cancer; environmental exposure; food/nutrition; provider locations south carolina dph, health maps, health applications, clinic locator, hiv clinic, std clinic, hepatitis clinic, health facility, cancer map, rabies, mosquito disease, food desert, vaccine location reports/dashboard health-service access, clinic and facility locations, vaccination, cancer, hiv/sti/hepatitis services, mosquito-borne disease, rabies, food markets and food access south carolina residents, health-service users, facilities, providers and populations represented in application-specific public-health data south carolina state, county, facility, clinic, provider location, service area and other application-specific geography report/dashboard high facility or clinic name, service type, address, coordinates, county, provider category, disease or monitoring indicator, counts, rates and application-specific geographic measures locate hiv/sti/hepatitis clinics and other health services; map geographic access to care; identify facility locations; support community needs assessments; examine food access and selected public-health monitoring indicators sc dph public health data; sc dph all data dashboards; sc tracking; sc health compass; hiv, aids &amp; stds data and reports; census tiger/line; american community survey this is an application directory rather than one harmonized dataset; content, definitions, years, refresh schedules and export options differ by application; some tools are designed for service discovery rather than statistical analysis public products generally contain aggregated, nonidentifiable or facility-location information; individual-level surveillance and clinical records require separate authorization; review each application’s privacy and suppression rules</v>
      </c>
    </row>
    <row r="99" spans="1:36">
      <c r="A99" s="7"/>
      <c r="B99" s="7"/>
      <c r="C99" s="7"/>
      <c r="D99" s="7"/>
      <c r="E99" s="7"/>
      <c r="F99" s="7"/>
      <c r="G99" s="7"/>
      <c r="H99" s="7"/>
      <c r="I99" s="7"/>
      <c r="J99" s="7"/>
      <c r="K99" s="7"/>
      <c r="L99" s="7"/>
      <c r="M99" s="7"/>
      <c r="N99" s="7"/>
      <c r="O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Q200" s="7"/>
      <c r="R200" s="7"/>
      <c r="S200" s="7"/>
      <c r="T200" s="7"/>
      <c r="U200" s="7"/>
      <c r="V200" s="7"/>
      <c r="W200" s="7"/>
      <c r="X200" s="7"/>
      <c r="Y200" s="7"/>
      <c r="Z200" s="7"/>
      <c r="AA200" s="7"/>
      <c r="AB200" s="7"/>
      <c r="AC200" s="7"/>
      <c r="AD200" s="7"/>
      <c r="AE200" s="7"/>
      <c r="AF200" s="7"/>
      <c r="AG200" s="7"/>
      <c r="AH200" s="7"/>
      <c r="AI200" s="7"/>
      <c r="AJ200" s="7"/>
    </row>
    <row r="201" spans="1:36">
      <c r="A201" s="7"/>
      <c r="B201" s="7"/>
      <c r="C201" s="7"/>
      <c r="D201" s="7"/>
      <c r="E201" s="7"/>
      <c r="F201" s="7"/>
      <c r="G201" s="7"/>
      <c r="H201" s="7"/>
      <c r="I201" s="7"/>
      <c r="J201" s="7"/>
      <c r="K201" s="7"/>
      <c r="L201" s="7"/>
      <c r="M201" s="7"/>
      <c r="N201" s="7"/>
      <c r="O201" s="7"/>
      <c r="Q201" s="7"/>
      <c r="R201" s="7"/>
      <c r="S201" s="7"/>
      <c r="T201" s="7"/>
      <c r="U201" s="7"/>
      <c r="V201" s="7"/>
      <c r="W201" s="7"/>
      <c r="X201" s="7"/>
      <c r="Y201" s="7"/>
      <c r="Z201" s="7"/>
      <c r="AA201" s="7"/>
      <c r="AB201" s="7"/>
      <c r="AC201" s="7"/>
      <c r="AD201" s="7"/>
      <c r="AE201" s="7"/>
      <c r="AF201" s="7"/>
      <c r="AG201" s="7"/>
      <c r="AH201" s="7"/>
      <c r="AI201" s="7"/>
      <c r="AJ201" s="7"/>
    </row>
  </sheetData>
  <phoneticPr fontId="8" type="noConversion"/>
  <hyperlinks>
    <hyperlink ref="D2" r:id="rId1" xr:uid="{5D95C99B-7457-4FD2-9239-9737F4875A33}"/>
    <hyperlink ref="D3" r:id="rId2" xr:uid="{9D28D896-5A2E-4C4E-B1C0-5DCC38DC1771}"/>
    <hyperlink ref="D4" r:id="rId3" xr:uid="{8F28D3DD-4E63-4317-BB82-4BD1BB52FAFD}"/>
    <hyperlink ref="D5" r:id="rId4" xr:uid="{73377674-9252-4B10-A990-5AF7F7415AB1}"/>
    <hyperlink ref="D6" r:id="rId5" xr:uid="{48EEA4E8-6DEB-48D1-A126-5EF5DAB3F7B3}"/>
    <hyperlink ref="D7" r:id="rId6" xr:uid="{2CF03BB8-8ED2-4BBD-A864-F64495665D7D}"/>
    <hyperlink ref="D8" r:id="rId7" xr:uid="{41F8C1A0-8381-460B-92F1-EBC37E622AEF}"/>
    <hyperlink ref="D9" r:id="rId8" xr:uid="{B2BFE9AD-9A8A-4FB0-8A6D-E61B9F984C6A}"/>
    <hyperlink ref="D11" r:id="rId9" xr:uid="{1A0490A2-5FC3-4ADC-AC99-99FF0AD46350}"/>
    <hyperlink ref="D12" r:id="rId10" xr:uid="{29663700-79FE-4811-BE1C-7E68064E8786}"/>
    <hyperlink ref="D13" r:id="rId11" xr:uid="{F297B303-C5FB-49CC-99ED-E61ADE5D4C05}"/>
    <hyperlink ref="D15" r:id="rId12" xr:uid="{C1B0DEAD-EA94-43A0-A4C8-2B860E19C1F2}"/>
    <hyperlink ref="D16" r:id="rId13" xr:uid="{75C40B52-6531-4C55-BE5D-FE7CB445E9D9}"/>
    <hyperlink ref="D19" r:id="rId14" xr:uid="{26C02AD3-8752-4CB5-A05A-23F146E0FF99}"/>
    <hyperlink ref="D20" r:id="rId15" xr:uid="{88711E8C-D1CF-4216-8118-7F944B1BDAB1}"/>
    <hyperlink ref="D21" r:id="rId16" xr:uid="{B1943323-D958-4ED9-A9C1-A8E86516D35A}"/>
    <hyperlink ref="D22" r:id="rId17" xr:uid="{681FD681-2CF8-4650-9CE4-F9D4B722C8D5}"/>
    <hyperlink ref="D23" r:id="rId18" xr:uid="{2215E99B-811B-453A-B738-7F6EC3CD0B89}"/>
    <hyperlink ref="D24" r:id="rId19" xr:uid="{5FF3694E-CB01-4DF8-BD94-3F4657E42DF2}"/>
    <hyperlink ref="D25" r:id="rId20" xr:uid="{820448C0-A4F8-4EFF-9B44-121017E9A30B}"/>
    <hyperlink ref="D26" r:id="rId21" xr:uid="{BA8FAF4A-F081-4EA3-81B3-7BB3B0C63A9A}"/>
    <hyperlink ref="D27" r:id="rId22" xr:uid="{1DE8FAAF-65CC-4816-BAE8-98BFC9EBEBBF}"/>
    <hyperlink ref="D29" r:id="rId23" xr:uid="{4A9C7ED2-8BC1-4D8B-A80B-F83280BDB04E}"/>
    <hyperlink ref="D30" r:id="rId24" xr:uid="{5B54CF8C-3354-4D75-BC02-72C9B9C99112}"/>
    <hyperlink ref="D31" r:id="rId25" xr:uid="{7B0F49B9-6C24-498A-ACED-A517E3D3075F}"/>
    <hyperlink ref="D32" r:id="rId26" xr:uid="{45588297-E9D5-4915-BFE1-B6EF5CB99971}"/>
    <hyperlink ref="D33" r:id="rId27" xr:uid="{D31A11A1-2B71-45A1-990C-2761094C0F7B}"/>
    <hyperlink ref="D34" r:id="rId28" xr:uid="{65A39404-1A89-4274-B770-A72976C35A13}"/>
    <hyperlink ref="D35" r:id="rId29" xr:uid="{AB7BAA6A-90D3-47BC-B331-41D86C0A8AAE}"/>
    <hyperlink ref="D37" r:id="rId30" xr:uid="{FAB3C67C-12D1-425D-A6DB-06676498BE7F}"/>
    <hyperlink ref="D38" r:id="rId31" xr:uid="{54B2DB09-D290-452C-B7C7-3A0781E0B358}"/>
    <hyperlink ref="D39" r:id="rId32" xr:uid="{C0462AE9-30D0-4E8C-9CF8-46BD25DF6011}"/>
    <hyperlink ref="D40" r:id="rId33" xr:uid="{FB208C99-362C-4C40-B30A-5D643A8B5A1C}"/>
    <hyperlink ref="D41" r:id="rId34" xr:uid="{24F89F05-91F9-48E3-9084-7C7804C7C8F7}"/>
    <hyperlink ref="D42" r:id="rId35" xr:uid="{4B6EBC45-C9A3-4D6F-B35D-9139B72071B2}"/>
    <hyperlink ref="D43" r:id="rId36" xr:uid="{1745665B-B6C4-4EFF-AF60-B558112C7709}"/>
    <hyperlink ref="D45" r:id="rId37" xr:uid="{AAB372D7-CAF5-4181-9926-665175AEEE2C}"/>
    <hyperlink ref="D49" r:id="rId38" xr:uid="{5AE1631C-1215-4BA9-A9A9-8D596708F2D1}"/>
    <hyperlink ref="D50" r:id="rId39" xr:uid="{77C64002-B29D-4A54-A0CA-CEAB9D28BB0E}"/>
    <hyperlink ref="D51" r:id="rId40" xr:uid="{17147296-0FB9-4AEF-A7C4-C3475C56E5E9}"/>
    <hyperlink ref="D52" r:id="rId41" xr:uid="{CBA5A1C0-40A0-4B12-BBD7-8EF7C30C983B}"/>
    <hyperlink ref="D53" r:id="rId42" xr:uid="{852E31A1-5BDF-4765-930A-F08A69F9F0AE}"/>
    <hyperlink ref="D54" r:id="rId43" xr:uid="{15023AEE-3277-4CD9-9505-8F65887B9A8F}"/>
    <hyperlink ref="D62" r:id="rId44" xr:uid="{9E2C12E8-6174-4D41-B3B8-DA134C5EF309}"/>
    <hyperlink ref="D65" r:id="rId45" xr:uid="{98350D86-124F-46D8-8BE1-3EB36256F072}"/>
    <hyperlink ref="D71" r:id="rId46" xr:uid="{57518C5E-F331-4B4A-96F2-920CF02B9BB9}"/>
    <hyperlink ref="D72" r:id="rId47" xr:uid="{2115FFF3-E4FF-4D6D-B5DF-AFD205576C6A}"/>
    <hyperlink ref="D73" r:id="rId48" xr:uid="{61F9EFF9-C06A-4C38-B403-F69E9E36A9CA}"/>
    <hyperlink ref="D74" r:id="rId49" xr:uid="{73F62A18-7B23-4177-A4AE-C6683BF9BFE1}"/>
    <hyperlink ref="D75" r:id="rId50" xr:uid="{5BE258F4-F6BB-45B8-B95B-FF8A4A8B1D73}"/>
    <hyperlink ref="D79" r:id="rId51" xr:uid="{F84A55D6-FFA9-4D6D-B62E-7D1A54459B3F}"/>
    <hyperlink ref="D77" r:id="rId52" xr:uid="{587F61A6-677C-48F0-901F-5EEB20189B16}"/>
    <hyperlink ref="D78" r:id="rId53" xr:uid="{50CDABA6-3E5F-4F02-B0F5-625B75B59097}"/>
    <hyperlink ref="D81" r:id="rId54" xr:uid="{1DE0AE30-8666-4053-B943-80524BCA8616}"/>
    <hyperlink ref="D82" r:id="rId55" xr:uid="{CD813581-0CB0-4396-AA49-1DDC8CDA2DED}"/>
    <hyperlink ref="D86" r:id="rId56" xr:uid="{ACF06E7D-7BD8-4F48-A9C1-D3F9810322A5}"/>
    <hyperlink ref="D83" r:id="rId57" xr:uid="{A1D171AC-A1D6-4D60-B7FC-8B9094B06569}"/>
    <hyperlink ref="D88" r:id="rId58" xr:uid="{168F6B87-40AF-424B-A787-305F16FAEFF6}"/>
    <hyperlink ref="D84" r:id="rId59" xr:uid="{8A3215EB-AAC3-41C0-98FD-5F361126EA32}"/>
    <hyperlink ref="D85" r:id="rId60" xr:uid="{D447DB2B-F599-4210-A357-9823C1FFBFBD}"/>
    <hyperlink ref="D89" r:id="rId61" xr:uid="{3EA010DD-6B69-48BF-B7DF-1E057D7FF26D}"/>
    <hyperlink ref="D87" r:id="rId62" xr:uid="{0A24B79A-97C6-4C9E-9545-484E4B14BE23}"/>
    <hyperlink ref="D90" r:id="rId63" xr:uid="{D20F7FE7-9B61-4905-9E3D-95E8027C2A53}"/>
    <hyperlink ref="D91" r:id="rId64" xr:uid="{A085474F-3411-45EC-A397-D2050711573C}"/>
    <hyperlink ref="D92" r:id="rId65" xr:uid="{84E82DC4-4D20-485F-AA43-5EE6858FD1F2}"/>
    <hyperlink ref="D95" r:id="rId66" xr:uid="{627176CF-9660-40AC-8068-96D3006537B1}"/>
    <hyperlink ref="D96" r:id="rId67" xr:uid="{CC8C5279-C9B9-40BC-BED1-6B7531BFD58F}"/>
    <hyperlink ref="D97" r:id="rId68" xr:uid="{580AD8E1-EABB-4992-8097-4E0181FBAE6D}"/>
    <hyperlink ref="D98" r:id="rId69" xr:uid="{5303D7EF-56A5-4217-A1CC-D6DABCF76ADD}"/>
    <hyperlink ref="D93" r:id="rId70" xr:uid="{FDEF3585-7A3C-4FCA-82A8-98ED1A87551F}"/>
    <hyperlink ref="D94" r:id="rId71" xr:uid="{49F582BD-88F2-4B01-8EA5-0DD9B3875D83}"/>
  </hyperlinks>
  <pageMargins left="0.7" right="0.7" top="0.75" bottom="0.75" header="0.3" footer="0.3"/>
  <tableParts count="1">
    <tablePart r:id="rId72"/>
  </tableParts>
  <extLst>
    <ext xmlns:x14="http://schemas.microsoft.com/office/spreadsheetml/2009/9/main" uri="{CCE6A557-97BC-4b89-ADB6-D9C93CAAB3DF}">
      <x14:dataValidations xmlns:xm="http://schemas.microsoft.com/office/excel/2006/main" count="12">
        <x14:dataValidation type="list" xr:uid="{00000000-0002-0000-0100-000000000000}">
          <x14:formula1>
            <xm:f>Dropdowns!$A$2:$A$12</xm:f>
          </x14:formula1>
          <xm:sqref>G2:G23 G70:G79 G81:G501 G25:G68</xm:sqref>
        </x14:dataValidation>
        <x14:dataValidation type="list" xr:uid="{00000000-0002-0000-0100-000003000000}">
          <x14:formula1>
            <xm:f>Dropdowns!$D$2:$D$15</xm:f>
          </x14:formula1>
          <xm:sqref>L2:L4 L65:L501 L6:L63</xm:sqref>
        </x14:dataValidation>
        <x14:dataValidation type="list" xr:uid="{00000000-0002-0000-0100-000005000000}">
          <x14:formula1>
            <xm:f>Dropdowns!$F$2:$F$12</xm:f>
          </x14:formula1>
          <xm:sqref>P57 P59:P61 Q75:Q92 Q94:Q501 Q2:Q73</xm:sqref>
        </x14:dataValidation>
        <x14:dataValidation type="list" xr:uid="{00000000-0002-0000-0100-000002000000}">
          <x14:formula1>
            <xm:f>Dropdowns!$C$2:$C$22</xm:f>
          </x14:formula1>
          <xm:sqref>I70:I83 I85:I92 I94:I501 I2:I68</xm:sqref>
        </x14:dataValidation>
        <x14:dataValidation type="list" xr:uid="{00000000-0002-0000-0100-000001000000}">
          <x14:formula1>
            <xm:f>Dropdowns!$B$2:$B$5</xm:f>
          </x14:formula1>
          <xm:sqref>H67:H68 H70:H79 H81:H92 H94:H501 H2:H65</xm:sqref>
        </x14:dataValidation>
        <x14:dataValidation type="list" xr:uid="{00000000-0002-0000-0100-000004000000}">
          <x14:formula1>
            <xm:f>Dropdowns!$E$2:$E$11</xm:f>
          </x14:formula1>
          <xm:sqref>O94:O501 O2:O92</xm:sqref>
        </x14:dataValidation>
        <x14:dataValidation type="list" xr:uid="{00000000-0002-0000-0100-000006000000}">
          <x14:formula1>
            <xm:f>Dropdowns!$G$2:$G$4</xm:f>
          </x14:formula1>
          <xm:sqref>R94:T501 R2:T92</xm:sqref>
        </x14:dataValidation>
        <x14:dataValidation type="list" xr:uid="{00000000-0002-0000-0100-000009000000}">
          <x14:formula1>
            <xm:f>Dropdowns!$H$2:$H$5</xm:f>
          </x14:formula1>
          <xm:sqref>W94:W501 W2:W92</xm:sqref>
        </x14:dataValidation>
        <x14:dataValidation type="list" xr:uid="{00000000-0002-0000-0100-00000A000000}">
          <x14:formula1>
            <xm:f>Dropdowns!$I$2:$I$5</xm:f>
          </x14:formula1>
          <xm:sqref>X94:X501 X2:X92</xm:sqref>
        </x14:dataValidation>
        <x14:dataValidation type="list" xr:uid="{00000000-0002-0000-0100-00000C000000}">
          <x14:formula1>
            <xm:f>Dropdowns!$K$2:$K$4</xm:f>
          </x14:formula1>
          <xm:sqref>AH94:AH501 AH2:AH92</xm:sqref>
        </x14:dataValidation>
        <x14:dataValidation type="list" xr:uid="{00000000-0002-0000-0100-00000B000000}">
          <x14:formula1>
            <xm:f>Dropdowns!$J$2:$J$4</xm:f>
          </x14:formula1>
          <xm:sqref>AE2:AE501</xm:sqref>
        </x14:dataValidation>
        <x14:dataValidation type="list" xr:uid="{00000000-0002-0000-0100-00000D000000}">
          <x14:formula1>
            <xm:f>Dropdowns!$L$2:$L$5</xm:f>
          </x14:formula1>
          <xm:sqref>AI2:AI501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200"/>
  <sheetViews>
    <sheetView workbookViewId="0">
      <selection activeCell="A17" sqref="A17:D17"/>
    </sheetView>
  </sheetViews>
  <sheetFormatPr defaultRowHeight="14.25"/>
  <cols>
    <col min="1" max="1" width="28" customWidth="1"/>
    <col min="2" max="2" width="55" customWidth="1"/>
    <col min="3" max="3" width="28" customWidth="1"/>
    <col min="4" max="4" width="55" customWidth="1"/>
  </cols>
  <sheetData>
    <row r="1" spans="1:36" ht="15">
      <c r="A1" s="6" t="s">
        <v>1013</v>
      </c>
      <c r="B1" s="6" t="s">
        <v>1014</v>
      </c>
      <c r="C1" s="6" t="s">
        <v>1015</v>
      </c>
      <c r="D1" s="6" t="s">
        <v>1016</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c r="A2" s="4" t="s">
        <v>15</v>
      </c>
      <c r="B2" s="4" t="s">
        <v>1017</v>
      </c>
      <c r="C2" s="4" t="s">
        <v>1018</v>
      </c>
      <c r="D2" s="4" t="s">
        <v>1019</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c r="A3" s="4" t="s">
        <v>16</v>
      </c>
      <c r="B3" s="4" t="s">
        <v>1020</v>
      </c>
      <c r="C3" s="4" t="s">
        <v>1021</v>
      </c>
      <c r="D3" s="4" t="s">
        <v>1022</v>
      </c>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c r="A4" s="4" t="s">
        <v>17</v>
      </c>
      <c r="B4" s="4" t="s">
        <v>1023</v>
      </c>
      <c r="C4" s="4" t="s">
        <v>1021</v>
      </c>
      <c r="D4" s="4" t="s">
        <v>1024</v>
      </c>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18</v>
      </c>
      <c r="B5" s="4" t="s">
        <v>1025</v>
      </c>
      <c r="C5" s="4" t="s">
        <v>1026</v>
      </c>
      <c r="D5" s="4" t="s">
        <v>1027</v>
      </c>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c r="A6" s="4" t="s">
        <v>19</v>
      </c>
      <c r="B6" s="4" t="s">
        <v>1028</v>
      </c>
      <c r="C6" s="4" t="s">
        <v>1021</v>
      </c>
      <c r="D6" s="4" t="s">
        <v>1029</v>
      </c>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4" t="s">
        <v>20</v>
      </c>
      <c r="B7" s="4" t="s">
        <v>1030</v>
      </c>
      <c r="C7" s="4" t="s">
        <v>1021</v>
      </c>
      <c r="D7" s="4" t="s">
        <v>1031</v>
      </c>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4" t="s">
        <v>21</v>
      </c>
      <c r="B8" s="4" t="s">
        <v>1032</v>
      </c>
      <c r="C8" s="4" t="s">
        <v>1033</v>
      </c>
      <c r="D8" s="4" t="s">
        <v>1034</v>
      </c>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4" t="s">
        <v>22</v>
      </c>
      <c r="B9" s="4" t="s">
        <v>1035</v>
      </c>
      <c r="C9" s="4" t="s">
        <v>1033</v>
      </c>
      <c r="D9" s="4" t="s">
        <v>1036</v>
      </c>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4" t="s">
        <v>23</v>
      </c>
      <c r="B10" s="4" t="s">
        <v>1037</v>
      </c>
      <c r="C10" s="4" t="s">
        <v>1033</v>
      </c>
      <c r="D10" s="4" t="s">
        <v>1038</v>
      </c>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4" t="s">
        <v>24</v>
      </c>
      <c r="B11" s="4" t="s">
        <v>1039</v>
      </c>
      <c r="C11" s="4" t="s">
        <v>1033</v>
      </c>
      <c r="D11" s="4" t="s">
        <v>1040</v>
      </c>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4" t="s">
        <v>25</v>
      </c>
      <c r="B12" s="4" t="s">
        <v>1041</v>
      </c>
      <c r="C12" s="4" t="s">
        <v>1033</v>
      </c>
      <c r="D12" s="4" t="s">
        <v>1042</v>
      </c>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4" t="s">
        <v>26</v>
      </c>
      <c r="B13" s="4" t="s">
        <v>1043</v>
      </c>
      <c r="C13" s="4" t="s">
        <v>1033</v>
      </c>
      <c r="D13" s="4" t="s">
        <v>1034</v>
      </c>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4" t="s">
        <v>27</v>
      </c>
      <c r="B14" s="4" t="s">
        <v>1044</v>
      </c>
      <c r="C14" s="4" t="s">
        <v>1033</v>
      </c>
      <c r="D14" s="4" t="s">
        <v>1045</v>
      </c>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ht="28.5">
      <c r="A15" s="4" t="s">
        <v>28</v>
      </c>
      <c r="B15" s="4" t="s">
        <v>1046</v>
      </c>
      <c r="C15" s="4" t="s">
        <v>1033</v>
      </c>
      <c r="D15" s="4" t="s">
        <v>1047</v>
      </c>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4" t="s">
        <v>29</v>
      </c>
      <c r="B16" s="4" t="s">
        <v>1048</v>
      </c>
      <c r="C16" s="4" t="s">
        <v>1033</v>
      </c>
      <c r="D16" s="4" t="s">
        <v>1049</v>
      </c>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4" t="s">
        <v>30</v>
      </c>
      <c r="B17" s="4" t="s">
        <v>1050</v>
      </c>
      <c r="C17" s="4" t="s">
        <v>1033</v>
      </c>
      <c r="D17" s="4" t="s">
        <v>1051</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4" t="s">
        <v>31</v>
      </c>
      <c r="B18" s="4" t="s">
        <v>1052</v>
      </c>
      <c r="C18" s="4" t="s">
        <v>1033</v>
      </c>
      <c r="D18" s="4" t="s">
        <v>1053</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4" t="s">
        <v>32</v>
      </c>
      <c r="B19" s="4" t="s">
        <v>1054</v>
      </c>
      <c r="C19" s="4" t="s">
        <v>1033</v>
      </c>
      <c r="D19" s="4" t="s">
        <v>1055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4" t="s">
        <v>33</v>
      </c>
      <c r="B20" s="4" t="s">
        <v>1056</v>
      </c>
      <c r="C20" s="4" t="s">
        <v>1033</v>
      </c>
      <c r="D20" s="4" t="s">
        <v>1055</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4" t="s">
        <v>34</v>
      </c>
      <c r="B21" s="4" t="s">
        <v>1057</v>
      </c>
      <c r="C21" s="4" t="s">
        <v>1033</v>
      </c>
      <c r="D21" s="4" t="s">
        <v>1055</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4" t="s">
        <v>35</v>
      </c>
      <c r="B22" s="4" t="s">
        <v>1058</v>
      </c>
      <c r="C22" s="4" t="s">
        <v>1033</v>
      </c>
      <c r="D22" s="4" t="s">
        <v>1059</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4" t="s">
        <v>36</v>
      </c>
      <c r="B23" s="4" t="s">
        <v>1060</v>
      </c>
      <c r="C23" s="4" t="s">
        <v>1033</v>
      </c>
      <c r="D23" s="4" t="s">
        <v>1061</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4" t="s">
        <v>37</v>
      </c>
      <c r="B24" s="4" t="s">
        <v>1062</v>
      </c>
      <c r="C24" s="4" t="s">
        <v>1033</v>
      </c>
      <c r="D24" s="4" t="s">
        <v>1063</v>
      </c>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4" t="s">
        <v>38</v>
      </c>
      <c r="B25" s="4" t="s">
        <v>1064</v>
      </c>
      <c r="C25" s="4" t="s">
        <v>1033</v>
      </c>
      <c r="D25" s="4" t="s">
        <v>1063</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4" t="s">
        <v>39</v>
      </c>
      <c r="B26" s="4" t="s">
        <v>1065</v>
      </c>
      <c r="C26" s="4" t="s">
        <v>1033</v>
      </c>
      <c r="D26" s="4" t="s">
        <v>1066</v>
      </c>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4" t="s">
        <v>40</v>
      </c>
      <c r="B27" s="4" t="s">
        <v>1067</v>
      </c>
      <c r="C27" s="4" t="s">
        <v>1033</v>
      </c>
      <c r="D27" s="4" t="s">
        <v>1068</v>
      </c>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4" t="s">
        <v>41</v>
      </c>
      <c r="B28" s="4" t="s">
        <v>1069</v>
      </c>
      <c r="C28" s="4" t="s">
        <v>1033</v>
      </c>
      <c r="D28" s="4" t="s">
        <v>1070</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4" t="s">
        <v>42</v>
      </c>
      <c r="B29" s="4" t="s">
        <v>1071</v>
      </c>
      <c r="C29" s="4" t="s">
        <v>1033</v>
      </c>
      <c r="D29" s="4" t="s">
        <v>1072</v>
      </c>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4" t="s">
        <v>43</v>
      </c>
      <c r="B30" s="4" t="s">
        <v>1073</v>
      </c>
      <c r="C30" s="4" t="s">
        <v>1033</v>
      </c>
      <c r="D30" s="4" t="s">
        <v>1074</v>
      </c>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4" t="s">
        <v>44</v>
      </c>
      <c r="B31" s="4" t="s">
        <v>1075</v>
      </c>
      <c r="C31" s="4" t="s">
        <v>1033</v>
      </c>
      <c r="D31" s="4" t="s">
        <v>1076</v>
      </c>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4" t="s">
        <v>45</v>
      </c>
      <c r="B32" s="4" t="s">
        <v>1077</v>
      </c>
      <c r="C32" s="4" t="s">
        <v>1033</v>
      </c>
      <c r="D32" s="4" t="s">
        <v>1078</v>
      </c>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4" t="s">
        <v>46</v>
      </c>
      <c r="B33" s="4" t="s">
        <v>1079</v>
      </c>
      <c r="C33" s="4" t="s">
        <v>1033</v>
      </c>
      <c r="D33" s="4" t="s">
        <v>1080</v>
      </c>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4" t="s">
        <v>47</v>
      </c>
      <c r="B34" s="4" t="s">
        <v>1081</v>
      </c>
      <c r="C34" s="4" t="s">
        <v>1033</v>
      </c>
      <c r="D34" s="4" t="s">
        <v>1082</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4" t="s">
        <v>48</v>
      </c>
      <c r="B35" s="4" t="s">
        <v>1083</v>
      </c>
      <c r="C35" s="4" t="s">
        <v>1033</v>
      </c>
      <c r="D35" s="4" t="s">
        <v>1084</v>
      </c>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4" t="s">
        <v>49</v>
      </c>
      <c r="B36" s="4" t="s">
        <v>1085</v>
      </c>
      <c r="C36" s="4" t="s">
        <v>1033</v>
      </c>
      <c r="D36" s="4" t="s">
        <v>1086</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4" t="s">
        <v>50</v>
      </c>
      <c r="B37" s="4" t="s">
        <v>1087</v>
      </c>
      <c r="C37" s="4" t="s">
        <v>1088</v>
      </c>
      <c r="D37" s="4" t="s">
        <v>1089</v>
      </c>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2"/>
  <sheetViews>
    <sheetView workbookViewId="0">
      <selection sqref="A1:A1048576"/>
    </sheetView>
  </sheetViews>
  <sheetFormatPr defaultRowHeight="14.25"/>
  <cols>
    <col min="1" max="12" width="28" customWidth="1"/>
  </cols>
  <sheetData>
    <row r="1" spans="1:12" ht="15">
      <c r="A1" s="5" t="s">
        <v>21</v>
      </c>
      <c r="B1" s="5" t="s">
        <v>22</v>
      </c>
      <c r="C1" s="5" t="s">
        <v>23</v>
      </c>
      <c r="D1" s="5" t="s">
        <v>26</v>
      </c>
      <c r="E1" s="5" t="s">
        <v>29</v>
      </c>
      <c r="F1" s="5" t="s">
        <v>31</v>
      </c>
      <c r="G1" s="5" t="s">
        <v>1090</v>
      </c>
      <c r="H1" s="5" t="s">
        <v>37</v>
      </c>
      <c r="I1" s="5" t="s">
        <v>1091</v>
      </c>
      <c r="J1" s="5" t="s">
        <v>1092</v>
      </c>
      <c r="K1" s="5" t="s">
        <v>48</v>
      </c>
      <c r="L1" s="5" t="s">
        <v>49</v>
      </c>
    </row>
    <row r="2" spans="1:12">
      <c r="A2" s="3" t="s">
        <v>238</v>
      </c>
      <c r="B2" s="3" t="s">
        <v>151</v>
      </c>
      <c r="C2" s="3" t="s">
        <v>156</v>
      </c>
      <c r="D2" s="3" t="s">
        <v>87</v>
      </c>
      <c r="E2" s="3" t="s">
        <v>63</v>
      </c>
      <c r="F2" s="3" t="s">
        <v>90</v>
      </c>
      <c r="G2" s="3" t="s">
        <v>66</v>
      </c>
      <c r="H2" s="3" t="s">
        <v>57</v>
      </c>
      <c r="I2" s="3" t="s">
        <v>57</v>
      </c>
      <c r="J2" s="3" t="s">
        <v>66</v>
      </c>
      <c r="K2" s="3" t="s">
        <v>57</v>
      </c>
      <c r="L2" s="3" t="s">
        <v>996</v>
      </c>
    </row>
    <row r="3" spans="1:12">
      <c r="A3" s="3" t="s">
        <v>102</v>
      </c>
      <c r="B3" s="3" t="s">
        <v>77</v>
      </c>
      <c r="C3" s="3" t="s">
        <v>103</v>
      </c>
      <c r="D3" s="3" t="s">
        <v>106</v>
      </c>
      <c r="E3" s="3" t="s">
        <v>956</v>
      </c>
      <c r="F3" s="3" t="s">
        <v>65</v>
      </c>
      <c r="G3" s="3" t="s">
        <v>67</v>
      </c>
      <c r="H3" s="3" t="s">
        <v>77</v>
      </c>
      <c r="I3" s="3" t="s">
        <v>77</v>
      </c>
      <c r="J3" s="3" t="s">
        <v>67</v>
      </c>
      <c r="K3" s="3" t="s">
        <v>77</v>
      </c>
      <c r="L3" s="3" t="s">
        <v>1093</v>
      </c>
    </row>
    <row r="4" spans="1:12">
      <c r="A4" s="3" t="s">
        <v>84</v>
      </c>
      <c r="B4" s="3" t="s">
        <v>57</v>
      </c>
      <c r="C4" s="3" t="s">
        <v>175</v>
      </c>
      <c r="D4" s="3" t="s">
        <v>453</v>
      </c>
      <c r="E4" s="3" t="s">
        <v>211</v>
      </c>
      <c r="F4" s="3" t="s">
        <v>307</v>
      </c>
      <c r="G4" s="3" t="s">
        <v>143</v>
      </c>
      <c r="H4" s="3" t="s">
        <v>151</v>
      </c>
      <c r="I4" s="3" t="s">
        <v>151</v>
      </c>
      <c r="J4" s="3" t="s">
        <v>75</v>
      </c>
      <c r="K4" s="3" t="s">
        <v>151</v>
      </c>
      <c r="L4" s="3" t="s">
        <v>78</v>
      </c>
    </row>
    <row r="5" spans="1:12">
      <c r="A5" s="3" t="s">
        <v>722</v>
      </c>
      <c r="B5" s="3" t="s">
        <v>143</v>
      </c>
      <c r="C5" s="3" t="s">
        <v>286</v>
      </c>
      <c r="D5" s="3" t="s">
        <v>58</v>
      </c>
      <c r="E5" s="3" t="s">
        <v>1094</v>
      </c>
      <c r="F5" s="3" t="s">
        <v>341</v>
      </c>
      <c r="G5" s="3"/>
      <c r="H5" s="3" t="s">
        <v>143</v>
      </c>
      <c r="I5" s="3" t="s">
        <v>143</v>
      </c>
      <c r="J5" s="3"/>
      <c r="K5" s="3"/>
      <c r="L5" s="3" t="s">
        <v>1095</v>
      </c>
    </row>
    <row r="6" spans="1:12">
      <c r="A6" s="3" t="s">
        <v>56</v>
      </c>
      <c r="B6" s="3"/>
      <c r="C6" s="3" t="s">
        <v>563</v>
      </c>
      <c r="D6" s="3" t="s">
        <v>140</v>
      </c>
      <c r="E6" s="3" t="s">
        <v>389</v>
      </c>
      <c r="F6" s="3" t="s">
        <v>614</v>
      </c>
      <c r="G6" s="3"/>
      <c r="H6" s="3"/>
      <c r="I6" s="3"/>
      <c r="J6" s="3"/>
      <c r="K6" s="3"/>
      <c r="L6" s="3"/>
    </row>
    <row r="7" spans="1:12">
      <c r="A7" s="3" t="s">
        <v>174</v>
      </c>
      <c r="B7" s="3"/>
      <c r="C7" s="3" t="s">
        <v>532</v>
      </c>
      <c r="D7" s="3" t="s">
        <v>337</v>
      </c>
      <c r="E7" s="3" t="s">
        <v>341</v>
      </c>
      <c r="F7" s="3" t="s">
        <v>273</v>
      </c>
      <c r="G7" s="3"/>
      <c r="H7" s="3"/>
      <c r="I7" s="3"/>
      <c r="J7" s="3"/>
      <c r="K7" s="3"/>
      <c r="L7" s="3"/>
    </row>
    <row r="8" spans="1:12" ht="28.5">
      <c r="A8" s="3" t="s">
        <v>449</v>
      </c>
      <c r="B8" s="3"/>
      <c r="C8" s="3" t="s">
        <v>594</v>
      </c>
      <c r="D8" s="3" t="s">
        <v>809</v>
      </c>
      <c r="E8" s="3" t="s">
        <v>614</v>
      </c>
      <c r="F8" s="3" t="s">
        <v>390</v>
      </c>
      <c r="G8" s="3"/>
      <c r="H8" s="3"/>
      <c r="I8" s="3"/>
      <c r="J8" s="3"/>
      <c r="K8" s="3"/>
      <c r="L8" s="3"/>
    </row>
    <row r="9" spans="1:12">
      <c r="A9" s="3" t="s">
        <v>469</v>
      </c>
      <c r="B9" s="3"/>
      <c r="C9" s="3" t="s">
        <v>416</v>
      </c>
      <c r="D9" s="3" t="s">
        <v>206</v>
      </c>
      <c r="E9" s="3" t="s">
        <v>1096</v>
      </c>
      <c r="F9" s="3" t="s">
        <v>829</v>
      </c>
      <c r="G9" s="3"/>
      <c r="H9" s="3"/>
      <c r="I9" s="3"/>
      <c r="J9" s="3"/>
      <c r="K9" s="3"/>
      <c r="L9" s="3"/>
    </row>
    <row r="10" spans="1:12">
      <c r="A10" s="3" t="s">
        <v>705</v>
      </c>
      <c r="B10" s="3"/>
      <c r="C10" s="3" t="s">
        <v>450</v>
      </c>
      <c r="D10" s="3" t="s">
        <v>223</v>
      </c>
      <c r="E10" s="3" t="s">
        <v>1097</v>
      </c>
      <c r="F10" s="3" t="s">
        <v>763</v>
      </c>
      <c r="G10" s="3"/>
      <c r="H10" s="3"/>
      <c r="I10" s="3"/>
      <c r="J10" s="3"/>
      <c r="K10" s="3"/>
      <c r="L10" s="3"/>
    </row>
    <row r="11" spans="1:12">
      <c r="A11" s="3" t="s">
        <v>919</v>
      </c>
      <c r="B11" s="3"/>
      <c r="C11" s="3" t="s">
        <v>58</v>
      </c>
      <c r="D11" s="3" t="s">
        <v>708</v>
      </c>
      <c r="E11" s="3" t="s">
        <v>64</v>
      </c>
      <c r="F11" s="3" t="s">
        <v>308</v>
      </c>
      <c r="G11" s="3"/>
      <c r="H11" s="3"/>
      <c r="I11" s="3"/>
      <c r="J11" s="3"/>
      <c r="K11" s="3"/>
      <c r="L11" s="3"/>
    </row>
    <row r="12" spans="1:12">
      <c r="A12" s="3" t="s">
        <v>143</v>
      </c>
      <c r="B12" s="3"/>
      <c r="C12" s="3" t="s">
        <v>206</v>
      </c>
      <c r="D12" s="3" t="s">
        <v>759</v>
      </c>
      <c r="E12" s="3"/>
      <c r="F12" s="3" t="s">
        <v>64</v>
      </c>
      <c r="G12" s="3"/>
      <c r="H12" s="3"/>
      <c r="I12" s="3"/>
      <c r="J12" s="3"/>
      <c r="K12" s="3"/>
      <c r="L12" s="3"/>
    </row>
    <row r="13" spans="1:12">
      <c r="A13" s="3"/>
      <c r="B13" s="3"/>
      <c r="C13" s="3" t="s">
        <v>223</v>
      </c>
      <c r="D13" s="3" t="s">
        <v>742</v>
      </c>
      <c r="E13" s="3"/>
      <c r="F13" s="3"/>
      <c r="G13" s="3"/>
      <c r="H13" s="3"/>
      <c r="I13" s="3"/>
      <c r="J13" s="3"/>
      <c r="K13" s="3"/>
      <c r="L13" s="3"/>
    </row>
    <row r="14" spans="1:12">
      <c r="A14" s="3"/>
      <c r="B14" s="3"/>
      <c r="C14" s="3" t="s">
        <v>137</v>
      </c>
      <c r="D14" s="3" t="s">
        <v>304</v>
      </c>
      <c r="E14" s="3"/>
      <c r="F14" s="3"/>
      <c r="G14" s="3"/>
      <c r="H14" s="3"/>
      <c r="I14" s="3"/>
      <c r="J14" s="3"/>
      <c r="K14" s="3"/>
      <c r="L14" s="3"/>
    </row>
    <row r="15" spans="1:12">
      <c r="A15" s="3"/>
      <c r="B15" s="3"/>
      <c r="C15" s="3" t="s">
        <v>353</v>
      </c>
      <c r="D15" s="3" t="s">
        <v>64</v>
      </c>
      <c r="E15" s="3"/>
      <c r="F15" s="3"/>
      <c r="G15" s="3"/>
      <c r="H15" s="3"/>
      <c r="I15" s="3"/>
      <c r="J15" s="3"/>
      <c r="K15" s="3"/>
      <c r="L15" s="3"/>
    </row>
    <row r="16" spans="1:12">
      <c r="A16" s="3"/>
      <c r="B16" s="3"/>
      <c r="C16" s="3" t="s">
        <v>824</v>
      </c>
      <c r="D16" s="3"/>
      <c r="E16" s="3"/>
      <c r="F16" s="3"/>
      <c r="G16" s="3"/>
      <c r="H16" s="3"/>
      <c r="I16" s="3"/>
      <c r="J16" s="3"/>
      <c r="K16" s="3"/>
      <c r="L16" s="3"/>
    </row>
    <row r="17" spans="1:12">
      <c r="A17" s="3"/>
      <c r="B17" s="3"/>
      <c r="C17" s="3" t="s">
        <v>855</v>
      </c>
      <c r="D17" s="3"/>
      <c r="E17" s="3"/>
      <c r="F17" s="3"/>
      <c r="G17" s="3"/>
      <c r="H17" s="3"/>
      <c r="I17" s="3"/>
      <c r="J17" s="3"/>
      <c r="K17" s="3"/>
      <c r="L17" s="3"/>
    </row>
    <row r="18" spans="1:12">
      <c r="A18" s="3"/>
      <c r="B18" s="3"/>
      <c r="C18" s="3" t="s">
        <v>872</v>
      </c>
      <c r="D18" s="3"/>
      <c r="E18" s="3"/>
      <c r="F18" s="3"/>
      <c r="G18" s="3"/>
      <c r="H18" s="3"/>
      <c r="I18" s="3"/>
      <c r="J18" s="3"/>
      <c r="K18" s="3"/>
      <c r="L18" s="3"/>
    </row>
    <row r="19" spans="1:12">
      <c r="A19" s="3"/>
      <c r="B19" s="3"/>
      <c r="C19" s="3" t="s">
        <v>951</v>
      </c>
      <c r="D19" s="3"/>
      <c r="E19" s="3"/>
      <c r="F19" s="3"/>
      <c r="G19" s="3"/>
      <c r="H19" s="3"/>
      <c r="I19" s="3"/>
      <c r="J19" s="3"/>
      <c r="K19" s="3"/>
      <c r="L19" s="3"/>
    </row>
    <row r="20" spans="1:12">
      <c r="A20" s="3"/>
      <c r="B20" s="3"/>
      <c r="C20" s="3" t="s">
        <v>887</v>
      </c>
      <c r="D20" s="3"/>
      <c r="E20" s="3"/>
      <c r="F20" s="3"/>
      <c r="G20" s="3"/>
      <c r="H20" s="3"/>
      <c r="I20" s="3"/>
      <c r="J20" s="3"/>
      <c r="K20" s="3"/>
      <c r="L20" s="3"/>
    </row>
    <row r="21" spans="1:12">
      <c r="A21" s="3"/>
      <c r="B21" s="3"/>
      <c r="C21" s="3" t="s">
        <v>706</v>
      </c>
      <c r="D21" s="3"/>
      <c r="E21" s="3"/>
      <c r="F21" s="3"/>
      <c r="G21" s="3"/>
      <c r="H21" s="3"/>
      <c r="I21" s="3"/>
      <c r="J21" s="3"/>
      <c r="K21" s="3"/>
      <c r="L21" s="3"/>
    </row>
    <row r="22" spans="1:12">
      <c r="A22" s="3"/>
      <c r="B22" s="3"/>
      <c r="C22" s="3" t="s">
        <v>64</v>
      </c>
      <c r="D22" s="3"/>
      <c r="E22" s="3"/>
      <c r="F22" s="3"/>
      <c r="G22" s="3"/>
      <c r="H22" s="3"/>
      <c r="I22" s="3"/>
      <c r="J22" s="3"/>
      <c r="K22" s="3"/>
      <c r="L22"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200"/>
  <sheetViews>
    <sheetView topLeftCell="A6" workbookViewId="0">
      <selection activeCell="B22" sqref="B22"/>
    </sheetView>
  </sheetViews>
  <sheetFormatPr defaultRowHeight="14.25"/>
  <cols>
    <col min="1" max="1" width="26" customWidth="1"/>
    <col min="2" max="2" width="60" customWidth="1"/>
    <col min="3" max="4" width="45" customWidth="1"/>
  </cols>
  <sheetData>
    <row r="1" spans="1:36" ht="15">
      <c r="A1" s="6" t="s">
        <v>1098</v>
      </c>
      <c r="B1" s="6" t="s">
        <v>1099</v>
      </c>
      <c r="C1" s="6" t="s">
        <v>1100</v>
      </c>
      <c r="D1" s="6" t="s">
        <v>1101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t="s">
        <v>156</v>
      </c>
      <c r="B2" s="4" t="s">
        <v>1102</v>
      </c>
      <c r="C2" s="4" t="s">
        <v>1103</v>
      </c>
      <c r="D2" s="4" t="s">
        <v>1104</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103</v>
      </c>
      <c r="B3" s="4" t="s">
        <v>1105</v>
      </c>
      <c r="C3" s="4" t="s">
        <v>1106</v>
      </c>
      <c r="D3" s="4" t="s">
        <v>1107</v>
      </c>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t="s">
        <v>175</v>
      </c>
      <c r="B4" s="4" t="s">
        <v>1108</v>
      </c>
      <c r="C4" s="4" t="s">
        <v>1109</v>
      </c>
      <c r="D4" s="4" t="s">
        <v>1110</v>
      </c>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286</v>
      </c>
      <c r="B5" s="4" t="s">
        <v>1111</v>
      </c>
      <c r="C5" s="4" t="s">
        <v>1112</v>
      </c>
      <c r="D5" s="4" t="s">
        <v>1113</v>
      </c>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ht="28.5">
      <c r="A6" s="4" t="s">
        <v>563</v>
      </c>
      <c r="B6" s="4" t="s">
        <v>1114</v>
      </c>
      <c r="C6" s="4" t="s">
        <v>1115</v>
      </c>
      <c r="D6" s="4" t="s">
        <v>1116</v>
      </c>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ht="28.5">
      <c r="A7" s="4" t="s">
        <v>532</v>
      </c>
      <c r="B7" s="4" t="s">
        <v>1117</v>
      </c>
      <c r="C7" s="4" t="s">
        <v>1118</v>
      </c>
      <c r="D7" s="4" t="s">
        <v>1119</v>
      </c>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ht="28.5">
      <c r="A8" s="4" t="s">
        <v>594</v>
      </c>
      <c r="B8" s="4" t="s">
        <v>1120</v>
      </c>
      <c r="C8" s="4" t="s">
        <v>1121</v>
      </c>
      <c r="D8" s="4" t="s">
        <v>1122</v>
      </c>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ht="28.5">
      <c r="A9" s="4" t="s">
        <v>416</v>
      </c>
      <c r="B9" s="4" t="s">
        <v>1123</v>
      </c>
      <c r="C9" s="4" t="s">
        <v>1124</v>
      </c>
      <c r="D9" s="4" t="s">
        <v>1125</v>
      </c>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ht="28.5">
      <c r="A10" s="4" t="s">
        <v>450</v>
      </c>
      <c r="B10" s="4" t="s">
        <v>1126</v>
      </c>
      <c r="C10" s="4" t="s">
        <v>1127</v>
      </c>
      <c r="D10" s="4" t="s">
        <v>1128</v>
      </c>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ht="28.5">
      <c r="A11" s="4" t="s">
        <v>58</v>
      </c>
      <c r="B11" s="4" t="s">
        <v>1129</v>
      </c>
      <c r="C11" s="4" t="s">
        <v>1130</v>
      </c>
      <c r="D11" s="4" t="s">
        <v>1131</v>
      </c>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ht="28.5">
      <c r="A12" s="4" t="s">
        <v>206</v>
      </c>
      <c r="B12" s="4" t="s">
        <v>1132</v>
      </c>
      <c r="C12" s="4" t="s">
        <v>1133</v>
      </c>
      <c r="D12" s="4" t="s">
        <v>1134</v>
      </c>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4" t="s">
        <v>223</v>
      </c>
      <c r="B13" s="4" t="s">
        <v>1135</v>
      </c>
      <c r="C13" s="4" t="s">
        <v>1136</v>
      </c>
      <c r="D13" s="4" t="s">
        <v>1137</v>
      </c>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ht="28.5">
      <c r="A14" s="4" t="s">
        <v>137</v>
      </c>
      <c r="B14" s="4" t="s">
        <v>1138</v>
      </c>
      <c r="C14" s="4" t="s">
        <v>1139</v>
      </c>
      <c r="D14" s="4" t="s">
        <v>1140</v>
      </c>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ht="28.5">
      <c r="A15" s="4" t="s">
        <v>353</v>
      </c>
      <c r="B15" s="4" t="s">
        <v>1141</v>
      </c>
      <c r="C15" s="4" t="s">
        <v>1142</v>
      </c>
      <c r="D15" s="4" t="s">
        <v>1143</v>
      </c>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ht="28.5">
      <c r="A16" s="4" t="s">
        <v>824</v>
      </c>
      <c r="B16" s="4" t="s">
        <v>1144</v>
      </c>
      <c r="C16" s="4" t="s">
        <v>1145</v>
      </c>
      <c r="D16" s="4" t="s">
        <v>1146</v>
      </c>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ht="28.5">
      <c r="A17" s="4" t="s">
        <v>855</v>
      </c>
      <c r="B17" s="4" t="s">
        <v>1147</v>
      </c>
      <c r="C17" s="4" t="s">
        <v>1148</v>
      </c>
      <c r="D17" s="4" t="s">
        <v>1149</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4" t="s">
        <v>872</v>
      </c>
      <c r="B18" s="4" t="s">
        <v>1150</v>
      </c>
      <c r="C18" s="4" t="s">
        <v>1151</v>
      </c>
      <c r="D18" s="4" t="s">
        <v>1152</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ht="28.5">
      <c r="A19" s="4" t="s">
        <v>951</v>
      </c>
      <c r="B19" s="4" t="s">
        <v>1153</v>
      </c>
      <c r="C19" s="4" t="s">
        <v>1154</v>
      </c>
      <c r="D19" s="4" t="s">
        <v>1155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ht="28.5">
      <c r="A20" s="4" t="s">
        <v>887</v>
      </c>
      <c r="B20" s="4" t="s">
        <v>1156</v>
      </c>
      <c r="C20" s="4" t="s">
        <v>1157</v>
      </c>
      <c r="D20" s="4" t="s">
        <v>1158</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ht="28.5">
      <c r="A21" s="4" t="s">
        <v>706</v>
      </c>
      <c r="B21" s="4" t="s">
        <v>1159</v>
      </c>
      <c r="C21" s="4" t="s">
        <v>1160</v>
      </c>
      <c r="D21" s="4" t="s">
        <v>736</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200"/>
  <sheetViews>
    <sheetView workbookViewId="0">
      <selection activeCell="B2" sqref="B2"/>
    </sheetView>
  </sheetViews>
  <sheetFormatPr defaultRowHeight="14.25"/>
  <cols>
    <col min="1" max="1" width="14" customWidth="1"/>
    <col min="2" max="2" width="60" customWidth="1"/>
    <col min="3" max="4" width="45" customWidth="1"/>
    <col min="5" max="5" width="60" customWidth="1"/>
    <col min="6" max="6" width="45" customWidth="1"/>
  </cols>
  <sheetData>
    <row r="1" spans="1:36" ht="15">
      <c r="A1" s="6" t="s">
        <v>1161</v>
      </c>
      <c r="B1" s="6" t="s">
        <v>1162</v>
      </c>
      <c r="C1" s="6" t="s">
        <v>1163</v>
      </c>
      <c r="D1" s="6" t="s">
        <v>1164</v>
      </c>
      <c r="E1" s="6" t="s">
        <v>1165</v>
      </c>
      <c r="F1" s="6" t="s">
        <v>1166</v>
      </c>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t="s">
        <v>1167</v>
      </c>
      <c r="B2" s="4" t="s">
        <v>1168</v>
      </c>
      <c r="C2" s="4" t="s">
        <v>1169</v>
      </c>
      <c r="D2" s="4" t="s">
        <v>1170</v>
      </c>
      <c r="E2" s="4" t="s">
        <v>1171</v>
      </c>
      <c r="F2" s="4" t="s">
        <v>1172</v>
      </c>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1173</v>
      </c>
      <c r="B3" s="4" t="s">
        <v>1174</v>
      </c>
      <c r="C3" s="4" t="s">
        <v>1175</v>
      </c>
      <c r="D3" s="4" t="s">
        <v>1176</v>
      </c>
      <c r="E3" s="4" t="s">
        <v>1177</v>
      </c>
      <c r="F3" s="4" t="s">
        <v>1178</v>
      </c>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t="s">
        <v>1179</v>
      </c>
      <c r="B4" s="4" t="s">
        <v>1180</v>
      </c>
      <c r="C4" s="4" t="s">
        <v>1181</v>
      </c>
      <c r="D4" s="4" t="s">
        <v>1182</v>
      </c>
      <c r="E4" s="4" t="s">
        <v>1183</v>
      </c>
      <c r="F4" s="4" t="s">
        <v>1184</v>
      </c>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1185</v>
      </c>
      <c r="B5" s="4" t="s">
        <v>1186</v>
      </c>
      <c r="C5" s="4" t="s">
        <v>1187</v>
      </c>
      <c r="D5" s="4" t="s">
        <v>1188</v>
      </c>
      <c r="E5" s="4" t="s">
        <v>1189</v>
      </c>
      <c r="F5" s="4" t="s">
        <v>1190</v>
      </c>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200"/>
  <sheetViews>
    <sheetView workbookViewId="0">
      <selection activeCell="C15" sqref="C15"/>
    </sheetView>
  </sheetViews>
  <sheetFormatPr defaultRowHeight="14.25"/>
  <cols>
    <col min="1" max="1" width="28" customWidth="1"/>
    <col min="2" max="2" width="16" customWidth="1"/>
    <col min="3" max="3" width="58" customWidth="1"/>
    <col min="4" max="4" width="48" customWidth="1"/>
  </cols>
  <sheetData>
    <row r="1" spans="1:36" ht="15">
      <c r="A1" s="6" t="s">
        <v>1191</v>
      </c>
      <c r="B1" s="6" t="s">
        <v>1192</v>
      </c>
      <c r="C1" s="6" t="s">
        <v>1193</v>
      </c>
      <c r="D1" s="6" t="s">
        <v>1016</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t="s">
        <v>1194</v>
      </c>
      <c r="B2" s="4">
        <v>30</v>
      </c>
      <c r="C2" s="4" t="s">
        <v>1195</v>
      </c>
      <c r="D2" s="4" t="s">
        <v>1196</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1197</v>
      </c>
      <c r="B3" s="4">
        <v>20</v>
      </c>
      <c r="C3" s="4" t="s">
        <v>1198</v>
      </c>
      <c r="D3" s="4" t="s">
        <v>1199</v>
      </c>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c r="A4" s="4" t="s">
        <v>1200</v>
      </c>
      <c r="B4" s="4">
        <v>15</v>
      </c>
      <c r="C4" s="4" t="s">
        <v>1201</v>
      </c>
      <c r="D4" s="4" t="s">
        <v>1202</v>
      </c>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c r="A5" s="4" t="s">
        <v>1203</v>
      </c>
      <c r="B5" s="4">
        <v>15</v>
      </c>
      <c r="C5" s="4" t="s">
        <v>1204</v>
      </c>
      <c r="D5" s="4" t="s">
        <v>1205</v>
      </c>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c r="A6" s="4" t="s">
        <v>1206</v>
      </c>
      <c r="B6" s="4">
        <v>10</v>
      </c>
      <c r="C6" s="4" t="s">
        <v>1207</v>
      </c>
      <c r="D6" s="4" t="s">
        <v>1208</v>
      </c>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4" t="s">
        <v>1209</v>
      </c>
      <c r="B7" s="4">
        <v>5</v>
      </c>
      <c r="C7" s="4" t="s">
        <v>1210</v>
      </c>
      <c r="D7" s="4" t="s">
        <v>1211</v>
      </c>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4" t="s">
        <v>1212</v>
      </c>
      <c r="B8" s="4">
        <v>5</v>
      </c>
      <c r="C8" s="4" t="s">
        <v>1213</v>
      </c>
      <c r="D8" s="4" t="s">
        <v>1214</v>
      </c>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200"/>
  <sheetViews>
    <sheetView workbookViewId="0">
      <selection activeCell="B6" sqref="B6"/>
    </sheetView>
  </sheetViews>
  <sheetFormatPr defaultRowHeight="14.25"/>
  <cols>
    <col min="1" max="1" width="8" customWidth="1"/>
    <col min="2" max="2" width="70" customWidth="1"/>
    <col min="3" max="3" width="18" customWidth="1"/>
    <col min="4" max="4" width="42" customWidth="1"/>
    <col min="5" max="5" width="18" customWidth="1"/>
  </cols>
  <sheetData>
    <row r="1" spans="1:36" ht="15">
      <c r="A1" s="6" t="s">
        <v>1215</v>
      </c>
      <c r="B1" s="6" t="s">
        <v>1216</v>
      </c>
      <c r="C1" s="6" t="s">
        <v>1217</v>
      </c>
      <c r="D1" s="6" t="s">
        <v>1218</v>
      </c>
      <c r="E1" s="6" t="s">
        <v>49</v>
      </c>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v>1</v>
      </c>
      <c r="B2" s="4" t="s">
        <v>1219</v>
      </c>
      <c r="C2" s="4"/>
      <c r="D2" s="4" t="s">
        <v>1220</v>
      </c>
      <c r="E2" s="4" t="s">
        <v>1221</v>
      </c>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c r="A3" s="4">
        <v>2</v>
      </c>
      <c r="B3" s="4" t="s">
        <v>1222</v>
      </c>
      <c r="C3" s="4"/>
      <c r="D3" s="4" t="s">
        <v>1223</v>
      </c>
      <c r="E3" s="4" t="s">
        <v>1221</v>
      </c>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v>3</v>
      </c>
      <c r="B4" s="4" t="s">
        <v>1224</v>
      </c>
      <c r="C4" s="4"/>
      <c r="D4" s="4" t="s">
        <v>1225</v>
      </c>
      <c r="E4" s="4" t="s">
        <v>1221</v>
      </c>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c r="A5" s="4">
        <v>4</v>
      </c>
      <c r="B5" s="4" t="s">
        <v>1226</v>
      </c>
      <c r="C5" s="4"/>
      <c r="D5" s="4" t="s">
        <v>1227</v>
      </c>
      <c r="E5" s="4" t="s">
        <v>1221</v>
      </c>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ht="28.5">
      <c r="A6" s="4">
        <v>5</v>
      </c>
      <c r="B6" s="4" t="s">
        <v>1228</v>
      </c>
      <c r="C6" s="4"/>
      <c r="D6" s="4" t="s">
        <v>1229</v>
      </c>
      <c r="E6" s="4" t="s">
        <v>1221</v>
      </c>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4">
        <v>6</v>
      </c>
      <c r="B7" s="4" t="s">
        <v>1230</v>
      </c>
      <c r="C7" s="4"/>
      <c r="D7" s="4" t="s">
        <v>1231</v>
      </c>
      <c r="E7" s="4" t="s">
        <v>1221</v>
      </c>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4">
        <v>7</v>
      </c>
      <c r="B8" s="4" t="s">
        <v>1232</v>
      </c>
      <c r="C8" s="4"/>
      <c r="D8" s="4" t="s">
        <v>1233</v>
      </c>
      <c r="E8" s="4" t="s">
        <v>1221</v>
      </c>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4">
        <v>8</v>
      </c>
      <c r="B9" s="4" t="s">
        <v>1234</v>
      </c>
      <c r="C9" s="4"/>
      <c r="D9" s="4" t="s">
        <v>1235</v>
      </c>
      <c r="E9" s="4" t="s">
        <v>1221</v>
      </c>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200"/>
  <sheetViews>
    <sheetView workbookViewId="0">
      <selection activeCell="A4" sqref="A4"/>
    </sheetView>
  </sheetViews>
  <sheetFormatPr defaultRowHeight="14.25"/>
  <cols>
    <col min="1" max="1" width="24" customWidth="1"/>
    <col min="2" max="2" width="45" customWidth="1"/>
    <col min="3" max="3" width="52" customWidth="1"/>
    <col min="4" max="4" width="55" customWidth="1"/>
    <col min="5" max="5" width="30" customWidth="1"/>
  </cols>
  <sheetData>
    <row r="1" spans="1:36" ht="15">
      <c r="A1" s="6" t="s">
        <v>1236</v>
      </c>
      <c r="B1" s="6" t="s">
        <v>1237</v>
      </c>
      <c r="C1" s="6" t="s">
        <v>1238</v>
      </c>
      <c r="D1" s="6" t="s">
        <v>1239</v>
      </c>
      <c r="E1" s="6" t="s">
        <v>1240</v>
      </c>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c r="A2" s="4" t="s">
        <v>1241</v>
      </c>
      <c r="B2" s="4" t="s">
        <v>1242</v>
      </c>
      <c r="C2" s="4" t="s">
        <v>1243</v>
      </c>
      <c r="D2" s="4" t="s">
        <v>1244</v>
      </c>
      <c r="E2" s="4"/>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1245</v>
      </c>
      <c r="B3" s="4" t="s">
        <v>1246</v>
      </c>
      <c r="C3" s="4" t="s">
        <v>1247</v>
      </c>
      <c r="D3" s="4" t="s">
        <v>1248</v>
      </c>
      <c r="E3" s="4"/>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t="s">
        <v>1249</v>
      </c>
      <c r="B4" s="4" t="s">
        <v>1250</v>
      </c>
      <c r="C4" s="4" t="s">
        <v>1251</v>
      </c>
      <c r="D4" s="4" t="s">
        <v>1252</v>
      </c>
      <c r="E4" s="4"/>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1253</v>
      </c>
      <c r="B5" s="4" t="s">
        <v>1254</v>
      </c>
      <c r="C5" s="4" t="s">
        <v>1255</v>
      </c>
      <c r="D5" s="4" t="s">
        <v>1256</v>
      </c>
      <c r="E5" s="4"/>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ht="28.5">
      <c r="A6" s="4" t="s">
        <v>1257</v>
      </c>
      <c r="B6" s="4" t="s">
        <v>1258</v>
      </c>
      <c r="C6" s="4" t="s">
        <v>1259</v>
      </c>
      <c r="D6" s="4" t="s">
        <v>1260</v>
      </c>
      <c r="E6" s="4"/>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ht="28.5">
      <c r="A7" s="4" t="s">
        <v>1261</v>
      </c>
      <c r="B7" s="4" t="s">
        <v>1262</v>
      </c>
      <c r="C7" s="4" t="s">
        <v>1263</v>
      </c>
      <c r="D7" s="4" t="s">
        <v>1264</v>
      </c>
      <c r="E7" s="4"/>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ht="28.5">
      <c r="A8" s="4" t="s">
        <v>1265</v>
      </c>
      <c r="B8" s="4" t="s">
        <v>1266</v>
      </c>
      <c r="C8" s="4" t="s">
        <v>1267</v>
      </c>
      <c r="D8" s="4" t="s">
        <v>1268</v>
      </c>
      <c r="E8" s="4"/>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ht="28.5">
      <c r="A9" s="4" t="s">
        <v>1269</v>
      </c>
      <c r="B9" s="4" t="s">
        <v>1270</v>
      </c>
      <c r="C9" s="4" t="s">
        <v>1271</v>
      </c>
      <c r="D9" s="4" t="s">
        <v>1272</v>
      </c>
      <c r="E9" s="4"/>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ht="28.5">
      <c r="A10" s="4" t="s">
        <v>1273</v>
      </c>
      <c r="B10" s="4" t="s">
        <v>1274</v>
      </c>
      <c r="C10" s="4" t="s">
        <v>1275</v>
      </c>
      <c r="D10" s="4" t="s">
        <v>1276</v>
      </c>
      <c r="E10" s="4"/>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4" t="s">
        <v>1277</v>
      </c>
      <c r="B11" s="4" t="s">
        <v>1278</v>
      </c>
      <c r="C11" s="4" t="s">
        <v>1279</v>
      </c>
      <c r="D11" s="4" t="s">
        <v>1280</v>
      </c>
      <c r="E11" s="4"/>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README</vt:lpstr>
      <vt:lpstr>Data_Prep</vt:lpstr>
      <vt:lpstr>Data_Dictionary</vt:lpstr>
      <vt:lpstr>Dropdowns</vt:lpstr>
      <vt:lpstr>Category_Keywords</vt:lpstr>
      <vt:lpstr>Demo_Scenarios</vt:lpstr>
      <vt:lpstr>Scoring_Model</vt:lpstr>
      <vt:lpstr>To_Do</vt:lpstr>
      <vt:lpstr>Feasibility_Test_Plan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Sapountzis</dc:creator>
  <cp:keywords/>
  <dc:description/>
  <cp:lastModifiedBy>SAPOUNTZIS, NICOLAS</cp:lastModifiedBy>
  <cp:revision/>
  <dcterms:created xsi:type="dcterms:W3CDTF">2026-06-10T19:54:43Z</dcterms:created>
  <dcterms:modified xsi:type="dcterms:W3CDTF">2026-07-24T16:37:26Z</dcterms:modified>
  <cp:category/>
  <cp:contentStatus/>
</cp:coreProperties>
</file>