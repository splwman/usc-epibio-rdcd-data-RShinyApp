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30"/>
  <workbookPr/>
  <mc:AlternateContent xmlns:mc="http://schemas.openxmlformats.org/markup-compatibility/2006">
    <mc:Choice Requires="x15">
      <x15ac:absPath xmlns:x15ac="http://schemas.microsoft.com/office/spreadsheetml/2010/11/ac" url="https://emailsc-my.sharepoint.com/personal/splowman_mailbox_sc_edu/Documents/Projects/Data Sources/rdcd data sources app/"/>
    </mc:Choice>
  </mc:AlternateContent>
  <xr:revisionPtr revIDLastSave="21" documentId="11_2A85122CB0819D5AF39811662848232F6ABEE378" xr6:coauthVersionLast="47" xr6:coauthVersionMax="47" xr10:uidLastSave="{3F0996C4-C3A8-AC4F-BE40-FDA2B042DE23}"/>
  <bookViews>
    <workbookView xWindow="0" yWindow="660" windowWidth="29040" windowHeight="15720" xr2:uid="{00000000-000D-0000-FFFF-FFFF00000000}"/>
  </bookViews>
  <sheets>
    <sheet name="Data_Prep"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106" i="1" l="1"/>
  <c r="AJ105" i="1"/>
  <c r="AJ104" i="1"/>
  <c r="AJ103" i="1"/>
  <c r="AJ102" i="1"/>
  <c r="AJ101" i="1"/>
  <c r="AJ100" i="1"/>
  <c r="AJ99" i="1"/>
  <c r="AJ98" i="1"/>
  <c r="AJ97" i="1"/>
  <c r="AJ96" i="1"/>
  <c r="AJ95" i="1"/>
  <c r="AJ94" i="1"/>
  <c r="AJ93" i="1"/>
  <c r="AJ92" i="1"/>
  <c r="AJ91" i="1"/>
  <c r="AJ90" i="1"/>
  <c r="AJ89" i="1"/>
  <c r="AJ88" i="1"/>
  <c r="AJ87" i="1"/>
  <c r="AJ86" i="1"/>
  <c r="AJ85" i="1"/>
  <c r="AJ84" i="1"/>
  <c r="AJ83" i="1"/>
  <c r="AJ82" i="1"/>
  <c r="AJ81" i="1"/>
  <c r="AJ80" i="1"/>
  <c r="AJ79" i="1"/>
  <c r="AJ78" i="1"/>
  <c r="AJ77" i="1"/>
  <c r="AJ76" i="1"/>
  <c r="AJ75" i="1"/>
  <c r="AJ74" i="1"/>
  <c r="AJ73" i="1"/>
  <c r="AJ72" i="1"/>
  <c r="AJ71" i="1"/>
  <c r="AJ70" i="1"/>
  <c r="AJ69" i="1"/>
  <c r="AJ68" i="1"/>
  <c r="AJ67" i="1"/>
  <c r="AJ66" i="1"/>
  <c r="AJ65" i="1"/>
  <c r="AJ64" i="1"/>
  <c r="AJ63" i="1"/>
  <c r="AJ62" i="1"/>
  <c r="AJ61" i="1"/>
  <c r="AJ60" i="1"/>
  <c r="AJ59" i="1"/>
  <c r="AJ58" i="1"/>
  <c r="AJ57" i="1"/>
  <c r="AJ56" i="1"/>
  <c r="AJ55" i="1"/>
  <c r="AJ54" i="1"/>
  <c r="AJ53" i="1"/>
  <c r="AJ52" i="1"/>
  <c r="AJ51" i="1"/>
  <c r="AJ50" i="1"/>
  <c r="AJ49" i="1"/>
  <c r="AJ48" i="1"/>
  <c r="AJ47" i="1"/>
  <c r="AJ46" i="1"/>
  <c r="AJ45" i="1"/>
  <c r="AJ44" i="1"/>
  <c r="AJ43" i="1"/>
  <c r="AJ42" i="1"/>
  <c r="AJ41" i="1"/>
  <c r="AJ40" i="1"/>
  <c r="AJ39" i="1"/>
  <c r="AJ38" i="1"/>
  <c r="AJ37" i="1"/>
  <c r="AJ36" i="1"/>
  <c r="AJ35" i="1"/>
  <c r="AJ34" i="1"/>
  <c r="AJ33" i="1"/>
  <c r="AJ32" i="1"/>
  <c r="AJ31" i="1"/>
  <c r="AJ30" i="1"/>
  <c r="AJ29" i="1"/>
  <c r="AJ28" i="1"/>
  <c r="AJ27" i="1"/>
  <c r="AJ26" i="1"/>
  <c r="AJ25" i="1"/>
  <c r="AJ24" i="1"/>
  <c r="AJ23" i="1"/>
  <c r="AJ22" i="1"/>
  <c r="AJ21" i="1"/>
  <c r="AJ20" i="1"/>
  <c r="AJ19" i="1"/>
  <c r="AJ18" i="1"/>
  <c r="AJ17" i="1"/>
  <c r="AJ16" i="1"/>
  <c r="AJ15" i="1"/>
  <c r="AJ14" i="1"/>
  <c r="AJ13" i="1"/>
  <c r="AJ12" i="1"/>
  <c r="AJ11" i="1"/>
  <c r="AJ10" i="1"/>
  <c r="AJ9" i="1"/>
  <c r="AJ8" i="1"/>
  <c r="AJ7" i="1"/>
  <c r="AJ6" i="1"/>
  <c r="AJ5" i="1"/>
  <c r="AJ4" i="1"/>
  <c r="AJ3" i="1"/>
  <c r="AJ2" i="1"/>
</calcChain>
</file>

<file path=xl/sharedStrings.xml><?xml version="1.0" encoding="utf-8"?>
<sst xmlns="http://schemas.openxmlformats.org/spreadsheetml/2006/main" count="3123" uniqueCount="1638">
  <si>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</si>
  <si>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</si>
  <si>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</si>
  <si>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</si>
  <si>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</si>
  <si>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</si>
  <si>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</si>
  <si>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</si>
  <si>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</si>
  <si>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</si>
  <si>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</si>
  <si>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</si>
  <si>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</si>
  <si>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</si>
  <si>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</si>
  <si>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</si>
  <si>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</si>
  <si>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</si>
  <si>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</si>
  <si>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</si>
  <si>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</si>
  <si>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</si>
  <si>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</si>
  <si>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</si>
  <si>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</si>
  <si>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</si>
  <si>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</si>
  <si>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</si>
  <si>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</si>
  <si>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</si>
  <si>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</si>
  <si>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</si>
  <si>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</si>
  <si>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</si>
  <si>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</si>
  <si>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</si>
  <si>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</si>
  <si>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</si>
  <si>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</si>
  <si>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</si>
  <si>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</si>
  <si>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</si>
  <si>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</si>
  <si>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</si>
  <si>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</si>
  <si>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</si>
  <si>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</si>
  <si>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</si>
  <si>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</si>
  <si>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</si>
  <si>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</si>
  <si>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</si>
  <si>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</si>
  <si>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</si>
  <si>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</si>
  <si>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</si>
  <si>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</si>
  <si>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</si>
  <si>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</si>
  <si>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</si>
  <si>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</si>
  <si>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</si>
  <si>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</si>
  <si>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</si>
  <si>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</si>
  <si>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</si>
  <si>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</si>
  <si>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</si>
  <si>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</si>
  <si>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</si>
  <si>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natural language processing; transcriptomics; All of Us</t>
  </si>
  <si>
    <t>EHR; clinical, electronic health record; genomics; survey; mobile device data; physical measurements; health care utilization/cost; RNA sequencing; natural language processing; NLP; transcriptomics; proteomics; multiomics; clinical notes data;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</si>
  <si>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</si>
  <si>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</si>
  <si>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</si>
  <si>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</si>
  <si>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</si>
  <si>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demographics; socioeconomic; geographic; EHR-derived variables; mortality; claims; mobility; lifestyle; physical activity; sleep;  genotyping; biomarkers; whole genome sequencing; nutrition; environmental exposures; minute-level metrics; device provenance; gene expression (RNA-seq); proteomics</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</si>
  <si>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</si>
  <si>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</si>
  <si>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</si>
  <si>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</si>
  <si>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EM</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</si>
  <si>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</si>
  <si>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</si>
  <si>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</si>
  <si>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</si>
  <si>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</si>
  <si>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</si>
  <si>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</si>
  <si>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</si>
  <si>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</si>
  <si>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</si>
  <si>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</si>
  <si>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</si>
  <si>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</si>
  <si>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</si>
  <si>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</si>
  <si>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</si>
  <si>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</si>
  <si>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</si>
  <si>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</si>
  <si>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</si>
  <si>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</si>
  <si>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</si>
  <si>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</si>
  <si>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</si>
  <si>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</si>
  <si>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</si>
  <si>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</si>
  <si>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</si>
  <si>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</si>
  <si>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</si>
  <si>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</si>
  <si>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</si>
  <si>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</si>
  <si>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</si>
  <si>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</si>
  <si>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</si>
  <si>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</si>
  <si>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</si>
  <si>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</si>
  <si>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</si>
  <si>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</si>
  <si>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</si>
  <si>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</si>
  <si>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</si>
  <si>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</si>
  <si>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</si>
  <si>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</si>
  <si>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</si>
  <si>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</si>
  <si>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</si>
  <si>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</si>
  <si>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</si>
  <si>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</si>
  <si>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</si>
  <si>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</si>
  <si>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</si>
  <si>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</si>
  <si>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</si>
  <si>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</si>
  <si>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</si>
  <si>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</si>
  <si>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</si>
  <si>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</si>
  <si>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</si>
  <si>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</si>
  <si>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</si>
  <si>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</si>
  <si>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</si>
  <si>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</si>
  <si>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</si>
  <si>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</si>
  <si>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</si>
  <si>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</si>
  <si>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</si>
  <si>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</si>
  <si>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</si>
  <si>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</si>
  <si>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</si>
  <si>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</si>
  <si>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</si>
  <si>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</si>
  <si>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</si>
  <si>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</si>
  <si>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</si>
  <si>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</si>
  <si>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</si>
  <si>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</si>
  <si>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</si>
  <si>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</si>
  <si>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</si>
  <si>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</si>
  <si>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</si>
  <si>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</si>
  <si>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</si>
  <si>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</si>
  <si>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</si>
  <si>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</si>
  <si>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</si>
  <si>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</si>
  <si>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</si>
  <si>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</si>
  <si>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</si>
  <si>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</si>
  <si>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</si>
  <si>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</si>
  <si>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</si>
  <si>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</si>
  <si>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</si>
  <si>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</si>
  <si>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</si>
  <si>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</si>
  <si>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</si>
  <si>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</si>
  <si>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</si>
  <si>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</si>
  <si>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</si>
  <si>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</si>
  <si>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</si>
  <si>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</si>
  <si>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</si>
  <si>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</si>
  <si>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</si>
  <si>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</si>
  <si>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</si>
  <si>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</si>
  <si>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</si>
  <si>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</si>
  <si>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</si>
  <si>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</si>
  <si>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</si>
  <si>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</si>
  <si>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</si>
  <si>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</si>
  <si>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</si>
  <si>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</si>
  <si>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</si>
  <si>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</si>
  <si>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</si>
  <si>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</si>
  <si>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</si>
  <si>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</si>
  <si>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</si>
  <si>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</si>
  <si>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</si>
  <si>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</si>
  <si>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</si>
  <si>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</si>
  <si>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</si>
  <si>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</si>
  <si>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</si>
  <si>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</si>
  <si>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</si>
  <si>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</si>
  <si>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</si>
  <si>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</si>
  <si>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</si>
  <si>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</si>
  <si>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</si>
  <si>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</si>
  <si>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</si>
  <si>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</si>
  <si>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</si>
  <si>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</si>
  <si>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</si>
  <si>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</si>
  <si>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</si>
  <si>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</si>
  <si>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</si>
  <si>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</si>
  <si>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</si>
  <si>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</si>
  <si>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</si>
  <si>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</si>
  <si>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</si>
  <si>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</si>
  <si>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</si>
  <si>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</si>
  <si>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</si>
  <si>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</si>
  <si>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</si>
  <si>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</si>
  <si>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</si>
  <si>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</si>
  <si>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</si>
  <si>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</si>
  <si>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</si>
  <si>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</si>
  <si>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</si>
  <si>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</si>
  <si>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</si>
  <si>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</si>
  <si>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</si>
  <si>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</si>
  <si>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</si>
  <si>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</si>
  <si>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</si>
  <si>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</si>
  <si>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</si>
  <si>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</si>
  <si>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</si>
  <si>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</si>
  <si>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</si>
  <si>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</si>
  <si>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</si>
  <si>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</si>
  <si>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</si>
  <si>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</si>
  <si>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</si>
  <si>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</si>
  <si>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</si>
  <si>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</si>
  <si>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</si>
  <si>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</si>
  <si>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</si>
  <si>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</si>
  <si>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</si>
  <si>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</si>
  <si>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</si>
  <si>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</si>
  <si>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</si>
  <si>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</si>
  <si>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</si>
  <si>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</si>
  <si>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</si>
  <si>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</si>
  <si>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</si>
  <si>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</si>
  <si>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</si>
  <si>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</si>
  <si>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</si>
  <si>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</si>
  <si>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</si>
  <si>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</si>
  <si>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</si>
  <si>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</si>
  <si>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</si>
  <si>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</si>
  <si>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</si>
  <si>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</si>
  <si>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</si>
  <si>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</si>
  <si>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</si>
  <si>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</si>
  <si>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</si>
  <si>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</si>
  <si>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</si>
  <si>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</si>
  <si>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</si>
  <si>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</si>
  <si>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</si>
  <si>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</si>
  <si>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</si>
  <si>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</si>
  <si>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</si>
  <si>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</si>
  <si>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</si>
  <si>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</si>
  <si>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</si>
  <si>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</si>
  <si>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</si>
  <si>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</si>
  <si>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</si>
  <si>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</si>
  <si>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</si>
  <si>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</si>
  <si>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</si>
  <si>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</si>
  <si>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</si>
  <si>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</si>
  <si>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</si>
  <si>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</si>
  <si>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</si>
  <si>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</si>
  <si>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</si>
  <si>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</si>
  <si>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</si>
  <si>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</si>
  <si>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</si>
  <si>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</si>
  <si>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</si>
  <si>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</si>
  <si>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</si>
  <si>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</si>
  <si>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</si>
  <si>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</si>
  <si>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</si>
  <si>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</si>
  <si>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</si>
  <si>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</si>
  <si>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</si>
  <si>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</si>
  <si>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</si>
  <si>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</si>
  <si>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</si>
  <si>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</si>
  <si>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</si>
  <si>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</si>
  <si>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</si>
  <si>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</si>
  <si>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</si>
  <si>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</si>
  <si>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</si>
  <si>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</si>
  <si>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</si>
  <si>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</si>
  <si>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</si>
  <si>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</si>
  <si>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</si>
  <si>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</si>
  <si>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</si>
  <si>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</si>
  <si>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</si>
  <si>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</si>
  <si>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</si>
  <si>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</si>
  <si>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</si>
  <si>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</si>
  <si>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</si>
  <si>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</si>
  <si>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</si>
  <si>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</si>
  <si>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</si>
  <si>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</si>
  <si>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</si>
  <si>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</si>
  <si>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</si>
  <si>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</si>
  <si>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</si>
  <si>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</si>
  <si>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</si>
  <si>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</si>
  <si>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</si>
  <si>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</si>
  <si>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</si>
  <si>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</si>
  <si>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</si>
  <si>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</si>
  <si>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</si>
  <si>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</si>
  <si>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</si>
  <si>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</si>
  <si>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</si>
  <si>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</si>
  <si>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</si>
  <si>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</si>
  <si>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</si>
  <si>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</si>
  <si>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</si>
  <si>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</si>
  <si>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</si>
  <si>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</si>
  <si>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</si>
  <si>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</si>
  <si>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</si>
  <si>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</si>
  <si>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</si>
  <si>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</si>
  <si>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</si>
  <si>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</si>
  <si>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</si>
  <si>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</si>
  <si>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</si>
  <si>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</si>
  <si>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</si>
  <si>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</si>
  <si>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</si>
  <si>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</si>
  <si>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</si>
  <si>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</si>
  <si>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</si>
  <si>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</si>
  <si>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</si>
  <si>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</si>
  <si>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</si>
  <si>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</si>
  <si>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</si>
  <si>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</si>
  <si>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</si>
  <si>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</si>
  <si>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</si>
  <si>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</si>
  <si>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</si>
  <si>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</si>
  <si>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</si>
  <si>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</si>
  <si>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</si>
  <si>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</si>
  <si>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</si>
  <si>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</si>
  <si>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</si>
  <si>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</si>
  <si>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</si>
  <si>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</si>
  <si>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</si>
  <si>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</si>
  <si>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</si>
  <si>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</si>
  <si>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</si>
  <si>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</si>
  <si>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</si>
  <si>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</si>
  <si>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</si>
  <si>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</si>
  <si>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</si>
  <si>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</si>
  <si>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</si>
  <si>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</si>
  <si>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</si>
  <si>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</si>
  <si>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</si>
  <si>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</si>
  <si>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</si>
  <si>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</si>
  <si>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</si>
  <si>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</si>
  <si>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</si>
  <si>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</si>
  <si>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</si>
  <si>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</si>
  <si>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</si>
  <si>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</si>
  <si>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</si>
  <si>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</si>
  <si>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</si>
  <si>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</si>
  <si>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</si>
  <si>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</si>
  <si>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</si>
  <si>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</si>
  <si>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</si>
  <si>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</si>
  <si>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</si>
  <si>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</si>
  <si>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</si>
  <si>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</si>
  <si>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</si>
  <si>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</si>
  <si>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</si>
  <si>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</si>
  <si>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</si>
  <si>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</si>
  <si>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</si>
  <si>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</si>
  <si>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</si>
  <si>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</si>
  <si>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</si>
  <si>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</si>
  <si>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</si>
  <si>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</si>
  <si>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</si>
  <si>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</si>
  <si>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</si>
  <si>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</si>
  <si>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</si>
  <si>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</si>
  <si>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</si>
  <si>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</si>
  <si>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</si>
  <si>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</si>
  <si>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</si>
  <si>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</si>
  <si>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</si>
  <si>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</si>
  <si>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</si>
  <si>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</si>
  <si>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</si>
  <si>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</si>
  <si>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</si>
  <si>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</si>
  <si>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</si>
  <si>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</si>
  <si>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</si>
  <si>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</si>
  <si>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</si>
  <si>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</si>
  <si>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</si>
  <si>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</si>
  <si>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</si>
  <si>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</si>
  <si>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</si>
  <si>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</si>
  <si>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</si>
  <si>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</si>
  <si>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</si>
  <si>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</si>
  <si>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</si>
  <si>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</si>
  <si>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</si>
  <si>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</si>
  <si>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</si>
  <si>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</si>
  <si>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</si>
  <si>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</si>
  <si>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</si>
  <si>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</si>
  <si>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</si>
  <si>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</si>
  <si>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</si>
  <si>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</si>
  <si>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</si>
  <si>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</si>
  <si>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</si>
  <si>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</si>
  <si>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</si>
  <si>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</si>
  <si>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</si>
  <si>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</si>
  <si>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</si>
  <si>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</si>
  <si>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</si>
  <si>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</si>
  <si>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</si>
  <si>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</si>
  <si>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</si>
  <si>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</si>
  <si>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</si>
  <si>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</si>
  <si>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</si>
  <si>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</si>
  <si>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</si>
  <si>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</si>
  <si>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</si>
  <si>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</si>
  <si>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</si>
  <si>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</si>
  <si>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</si>
  <si>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</si>
  <si>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</si>
  <si>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</si>
  <si>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</si>
  <si>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</si>
  <si>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</si>
  <si>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</si>
  <si>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</si>
  <si>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</si>
  <si>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</si>
  <si>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</si>
  <si>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</si>
  <si>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</si>
  <si>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</si>
  <si>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</si>
  <si>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</si>
  <si>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</si>
  <si>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</si>
  <si>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</si>
  <si>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</si>
  <si>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</si>
  <si>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</si>
  <si>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</si>
  <si>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</si>
  <si>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</si>
  <si>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</si>
  <si>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</si>
  <si>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</si>
  <si>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</si>
  <si>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</si>
  <si>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</si>
  <si>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</si>
  <si>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</si>
  <si>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</si>
  <si>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</si>
  <si>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</si>
  <si>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</si>
  <si>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</si>
  <si>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</si>
  <si>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</si>
  <si>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</si>
  <si>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</si>
  <si>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</si>
  <si>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</si>
  <si>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</si>
  <si>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</si>
  <si>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</si>
  <si>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</si>
  <si>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</si>
  <si>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</si>
  <si>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</si>
  <si>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</si>
  <si>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</si>
  <si>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</si>
  <si>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</si>
  <si>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</si>
  <si>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</si>
  <si>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</si>
  <si>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</si>
  <si>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</si>
  <si>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</si>
  <si>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</si>
  <si>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</si>
  <si>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</si>
  <si>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</si>
  <si>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</si>
  <si>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</si>
  <si>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</si>
  <si>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</si>
  <si>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</si>
  <si>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</si>
  <si>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</si>
  <si>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</si>
  <si>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</si>
  <si>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</si>
  <si>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</si>
  <si>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</si>
  <si>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</si>
  <si>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</si>
  <si>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</si>
  <si>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</si>
  <si>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</si>
  <si>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</si>
  <si>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</si>
  <si>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</si>
  <si>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</si>
  <si>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</si>
  <si>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</si>
  <si>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</si>
  <si>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</si>
  <si>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</si>
  <si>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</si>
  <si>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</si>
  <si>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</si>
  <si>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</si>
  <si>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</si>
  <si>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</si>
  <si>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</si>
  <si>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</si>
  <si>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</si>
  <si>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</si>
  <si>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</si>
  <si>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</si>
  <si>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</si>
  <si>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</si>
  <si>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</si>
  <si>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</si>
  <si>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</si>
  <si>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</si>
  <si>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</si>
  <si>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</si>
  <si>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</si>
  <si>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</si>
  <si>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</si>
  <si>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</si>
  <si>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</si>
  <si>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</si>
  <si>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</si>
  <si>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</si>
  <si>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</si>
  <si>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</si>
  <si>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</si>
  <si>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</si>
  <si>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</si>
  <si>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</si>
  <si>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</si>
  <si>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</si>
  <si>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</si>
  <si>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</si>
  <si>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</si>
  <si>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</si>
  <si>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</si>
  <si>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</si>
  <si>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</si>
  <si>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</si>
  <si>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</si>
  <si>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</si>
  <si>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</si>
  <si>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</si>
  <si>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</si>
  <si>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</si>
  <si>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</si>
  <si>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</si>
  <si>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</si>
  <si>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</si>
  <si>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</si>
  <si>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</si>
  <si>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</si>
  <si>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</si>
  <si>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</si>
  <si>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</si>
  <si>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</si>
  <si>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</si>
  <si>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</si>
  <si>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</si>
  <si>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</si>
  <si>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</si>
  <si>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</si>
  <si>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</si>
  <si>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</si>
  <si>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</si>
  <si>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</si>
  <si>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</si>
  <si>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</si>
  <si>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</si>
  <si>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</si>
  <si>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</si>
  <si>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</si>
  <si>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</si>
  <si>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</si>
  <si>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</si>
  <si>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</si>
  <si>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</si>
  <si>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</si>
  <si>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</si>
  <si>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</si>
  <si>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</si>
  <si>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</si>
  <si>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</si>
  <si>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</si>
  <si>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</si>
  <si>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</si>
  <si>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</si>
  <si>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</si>
  <si>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</si>
  <si>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</si>
  <si>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</si>
  <si>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</si>
  <si>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</si>
  <si>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</si>
  <si>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</si>
  <si>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</si>
  <si>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</si>
  <si>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</si>
  <si>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</si>
  <si>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</si>
  <si>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</si>
  <si>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</si>
  <si>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</si>
  <si>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</si>
  <si>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</si>
  <si>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</si>
  <si>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</si>
  <si>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</si>
  <si>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</si>
  <si>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</si>
  <si>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</si>
  <si>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</si>
  <si>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</si>
  <si>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</si>
  <si>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</si>
  <si>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</si>
  <si>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</si>
  <si>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</si>
  <si>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</si>
  <si>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</si>
  <si>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</si>
  <si>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</si>
  <si>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</si>
  <si>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</si>
  <si>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</si>
  <si>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</si>
  <si>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</si>
  <si>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</si>
  <si>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</si>
  <si>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</si>
  <si>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</si>
  <si>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</si>
  <si>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</si>
  <si>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</si>
  <si>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</si>
  <si>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</si>
  <si>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</si>
  <si>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</si>
  <si>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</si>
  <si>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</si>
  <si>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</si>
  <si>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</si>
  <si>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</si>
  <si>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</si>
  <si>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</si>
  <si>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</si>
  <si>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</si>
  <si>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</si>
  <si>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</si>
  <si>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</si>
  <si>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</si>
  <si>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</si>
  <si>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</si>
  <si>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</si>
  <si>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</si>
  <si>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</si>
  <si>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</si>
  <si>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</si>
  <si>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</si>
  <si>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</si>
  <si>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</si>
  <si>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</si>
  <si>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</si>
  <si>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</si>
  <si>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</si>
  <si>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</si>
  <si>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</si>
  <si>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</si>
  <si>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</si>
  <si>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</si>
  <si>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</si>
  <si>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</si>
  <si>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</si>
  <si>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</si>
  <si>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</si>
  <si>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</si>
  <si>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</si>
  <si>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</si>
  <si>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</si>
  <si>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</si>
  <si>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</si>
  <si>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</si>
  <si>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</si>
  <si>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</si>
  <si>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</si>
  <si>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</si>
  <si>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</si>
  <si>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</si>
  <si>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</si>
  <si>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</si>
  <si>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</si>
  <si>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</si>
  <si>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</si>
  <si>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</si>
  <si>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</si>
  <si>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</si>
  <si>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</si>
  <si>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</si>
  <si>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</si>
  <si>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</si>
  <si>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</si>
  <si>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</si>
  <si>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</si>
  <si>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</si>
  <si>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</si>
  <si>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</si>
  <si>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</si>
  <si>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</si>
  <si>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</si>
  <si>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</si>
  <si>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</si>
  <si>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</si>
  <si>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</si>
  <si>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</si>
  <si>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</si>
  <si>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</si>
  <si>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</si>
  <si>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</si>
  <si>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</si>
  <si>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</si>
  <si>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</si>
  <si>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</si>
  <si>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</si>
  <si>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</si>
  <si>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</si>
  <si>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</si>
  <si>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</si>
  <si>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</si>
  <si>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</si>
  <si>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</si>
  <si>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</si>
  <si>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</si>
  <si>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</si>
  <si>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</si>
  <si>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</si>
  <si>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</si>
  <si>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</si>
  <si>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</si>
  <si>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</si>
  <si>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</si>
  <si>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</si>
  <si>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</si>
  <si>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</si>
  <si>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</si>
  <si>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</si>
  <si>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</si>
  <si>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</si>
  <si>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</si>
  <si>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</si>
  <si>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</si>
  <si>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</si>
  <si>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</si>
  <si>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</si>
  <si>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</si>
  <si>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</si>
  <si>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</si>
  <si>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</si>
  <si>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</si>
  <si>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</si>
  <si>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</si>
  <si>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</si>
  <si>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</si>
  <si>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</si>
  <si>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</si>
  <si>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</si>
  <si>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</si>
  <si>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</si>
  <si>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</si>
  <si>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</si>
  <si>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</si>
  <si>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</si>
  <si>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</si>
  <si>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</si>
  <si>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</si>
  <si>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</si>
  <si>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</si>
  <si>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</si>
  <si>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</si>
  <si>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</si>
  <si>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</si>
  <si>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</si>
  <si>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</si>
  <si>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</si>
  <si>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</si>
  <si>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</si>
  <si>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</si>
  <si>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</si>
  <si>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</si>
  <si>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</si>
  <si>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</si>
  <si>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</si>
  <si>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</si>
  <si>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</si>
  <si>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</si>
  <si>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DS-059</t>
  </si>
  <si>
    <t>CDC EPHTrackR R package / Tracking API</t>
  </si>
  <si>
    <t>CDCgov/EPHTrackR: R interface to the CDC National Public Health Tracking Network API</t>
  </si>
  <si>
    <t>DS-060</t>
  </si>
  <si>
    <t>Daily Census Tract-Level PM2.5 Concentrations, 2016-2020</t>
  </si>
  <si>
    <t>Daily Census Tract-Level PM2.5 Concentrations, 2016 - 2020 | Data | Centers for Disease Control and Prevention</t>
  </si>
  <si>
    <t>DS-061</t>
  </si>
  <si>
    <t>EPA EnviroAtlas</t>
  </si>
  <si>
    <t>https://www.epa.gov/enviroatlas</t>
  </si>
  <si>
    <t>Geospatial environmental, demographic, ecosystem services, land cover, green space, heat, and community indicators.</t>
  </si>
  <si>
    <t>DS-062</t>
  </si>
  <si>
    <t>CDC WONDER Environmental Data</t>
  </si>
  <si>
    <t>CDC / GitHub</t>
  </si>
  <si>
    <t>Environmental data query system with place, time, and measure dimensions.</t>
  </si>
  <si>
    <t>SDOH/geospatial; Climate; Air quality; Environmental monitoring; Area-level data; Historical data</t>
  </si>
  <si>
    <t>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t>
  </si>
  <si>
    <t>Air temperature; heat index; extreme heat; heat waves; PM2.5; outdoor air quality; land surface temperature; sunlight; solar irradiation; precipitation</t>
  </si>
  <si>
    <t>Residents of the 48 contiguous United States, represented through county-level environmental exposure measures</t>
  </si>
  <si>
    <t>Varies by dataset; 1979–2011 overall</t>
  </si>
  <si>
    <t>Static/historical; no regular refresh indicated</t>
  </si>
  <si>
    <t>Daily air temperature; minimum and maximum temperature; heat index; degree days; PM2.5 concentration; land surface temperature; sunlight/solar irradiation; precipitation; heat-wave days; date; state; county; number of observations; range; standard deviation</t>
  </si>
  <si>
    <t>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t>
  </si>
  <si>
    <t>CDC WONDER mortality and natality data; CDC Environmental Public Health Tracking Network; EPA Air Quality System/AirData; EPA EnviroAtlas; NOAA climate data; U.S. Census population estimates; American Community Survey; CDC/ATSDR Social Vulnerability Index</t>
  </si>
  <si>
    <t>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t>
  </si>
  <si>
    <t>Public aggregate data for statistical reporting and analysis; users must accept CDC WONDER data-use restrictions; do not attempt to identify individuals or link data for re-identification; cite the relevant source dataset and methodology when publishing results.</t>
  </si>
  <si>
    <t>DS-063</t>
  </si>
  <si>
    <t>CDC Heat and Health Tracker</t>
  </si>
  <si>
    <t>CDC Tracking Network</t>
  </si>
  <si>
    <t>Interactive dashboard integrating local heat exposure, heat-related health outcomes, community vulnerability, and preparedness information to support extreme-heat surveillance, planning, and response.</t>
  </si>
  <si>
    <t>Public interactive dashboard; related Tracking Network data may also be accessed through maps, tables, Quick Reports, downloads, and API services.</t>
  </si>
  <si>
    <t>Climate; Extreme heat; Heat-related illness; SDOH/geospatial; Emergency preparedness; Environmental health surveillance; Community vulnerability; Area-level data</t>
  </si>
  <si>
    <t>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t>
  </si>
  <si>
    <t>Extreme heat; heat exposure; temperature; heat index; HeatRisk forecasts; heat-related emergency department visits; heat-related hospitalizations; heat-related mortality; heat vulnerability; climate projections; community preparedness</t>
  </si>
  <si>
    <t>Residents of the United States, including populations vulnerable to heat-related health effects such as older adults, young children, pregnant people, outdoor workers, athletes, and people with chronic health conditions.</t>
  </si>
  <si>
    <t>County/Zip Code/HHS Region, depending on indicator</t>
  </si>
  <si>
    <t>Varies by indicator; includes historical, near-real-time, 7-day forecast, and future-projection data</t>
  </si>
  <si>
    <t>Ongoing; daily or near-real-time for selected measures, with periodic updates for historical and vulnerability indicators</t>
  </si>
  <si>
    <t>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t>
  </si>
  <si>
    <t>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t>
  </si>
  <si>
    <t>CDC Environmental Public Health Tracking Network; National Syndromic Surveillance Program; National Weather Service HeatRisk; CDC Heat and Health Index; CDC/ATSDR Social Vulnerability Index; NOAA climate data; American Community Survey; CDC WONDER mortality data; EPA AirNow</t>
  </si>
  <si>
    <t>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t>
  </si>
  <si>
    <t>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t>
  </si>
  <si>
    <t>DS-064</t>
  </si>
  <si>
    <t>CDC/ATSDR Environmental Justice Index (EJI)</t>
  </si>
  <si>
    <t>https://www.atsdr.cdc.gov/place-health/php/eji/index.html</t>
  </si>
  <si>
    <t>National census-tract-level index for identifying communities experiencing cumulative environmental, social, and health burdens and supporting environmental justice, health equity, resource allocation, and place-based public health research.</t>
  </si>
  <si>
    <t>Public interactive map and downloadable census-tract data in CSV, Excel, and geodatabase formats</t>
  </si>
  <si>
    <t>Environmental exposure; Health equity; Environmental justice; Social vulnerability; Community vulnerability; Climate; Built environment; Area-level data; Health disparities</t>
  </si>
  <si>
    <t>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t>
  </si>
  <si>
    <t>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t>
  </si>
  <si>
    <t>Residents of census tracts in the continental United States, represented through community-level environmental, social, health, and climate indicators</t>
  </si>
  <si>
    <t>2022 and 2024 editions; indicator reference years vary by source</t>
  </si>
  <si>
    <t>Approximately every two years</t>
  </si>
  <si>
    <t>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t>
  </si>
  <si>
    <t>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t>
  </si>
  <si>
    <t>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t>
  </si>
  <si>
    <t>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t>
  </si>
  <si>
    <t>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t>
  </si>
  <si>
    <t xml:space="preserve">NS </t>
  </si>
  <si>
    <t>DS-065</t>
  </si>
  <si>
    <t>CDC</t>
  </si>
  <si>
    <t>DS-067</t>
  </si>
  <si>
    <t>EPA AirData</t>
  </si>
  <si>
    <t>EPA</t>
  </si>
  <si>
    <t>Public portal for downloading, querying, mapping, visualizing, and summarizing recent and historical ambient air-quality measurements collected at outdoor monitoring sites across the United States.</t>
  </si>
  <si>
    <t>Public web reports, visualizations, maps, downloadable files, and API access; an API key is required for customized AQS API queries.</t>
  </si>
  <si>
    <t>Air quality; Environmental monitoring; SDOH/geospatial; Ambient air pollution; Exposure assessment; Regulatory monitoring; Area-level data; Time-series data</t>
  </si>
  <si>
    <t>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t>
  </si>
  <si>
    <t>Ambient air quality; PM2.5; PM10; ozone; nitrogen dioxide; sulfur dioxide; carbon monoxide; lead; air toxics; hazardous air pollutants; particle speciation; Air Quality Index; meteorology; regulatory monitoring</t>
  </si>
  <si>
    <t>Residents and populations living near covered outdoor air-monitoring locations in the United States, Puerto Rico, and the U.S. Virgin Islands</t>
  </si>
  <si>
    <t>Monitoring site; county; city/CBSA; state</t>
  </si>
  <si>
    <t>Varies by pollutant and monitor; measurements extend back to 1957, with greater national consistency beginning around 1980; standard downloadable files generally available from 1990 onward</t>
  </si>
  <si>
    <t>Ongoing; AQS Data Mart updated weekly, with pre-generated files updated twice annually</t>
  </si>
  <si>
    <t>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t>
  </si>
  <si>
    <t>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t>
  </si>
  <si>
    <t>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t>
  </si>
  <si>
    <t>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t>
  </si>
  <si>
    <t>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t>
  </si>
  <si>
    <t>DS-068</t>
  </si>
  <si>
    <t>EPA AQS API</t>
  </si>
  <si>
    <t>EPA / ArcGIS / Data.gov</t>
  </si>
  <si>
    <t>Same as EPA AirData</t>
  </si>
  <si>
    <t>Programmatic access method for customized retrieval of data from EPA’s Air Quality System, the same underlying monitoring repository represented by EPA AirData.</t>
  </si>
  <si>
    <t>Do not use</t>
  </si>
  <si>
    <t>DS-069</t>
  </si>
  <si>
    <t>EPA AirToxScreen</t>
  </si>
  <si>
    <t>National screening assessment that models ambient concentrations, population exposures, lifetime cancer risks, and chronic noncancer hazards associated with hazardous air pollutants to help identify pollutants, emission sources, and locations that may warrant further study.</t>
  </si>
  <si>
    <t>Public website, mapping tool, technical documentation, and downloadable national and state-level assessment files</t>
  </si>
  <si>
    <t>Air quality; Air toxics; Hazardous air pollutants; Exposure modeling; Cancer risk; Health risk screening; Environmental justice; SDOH/geospatial; Area-level data</t>
  </si>
  <si>
    <t>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t>
  </si>
  <si>
    <t>Hazardous air pollutants; air toxics; ambient concentrations; inhalation exposure; lifetime cancer risk; respiratory noncancer hazards; point-source emissions; mobile-source emissions; nonpoint emissions; wildfire and fire emissions; background pollution; environmental health disparities</t>
  </si>
  <si>
    <t>Residents of the United States, represented through modeled population exposure to outdoor hazardous air pollutants at small-area geographic levels</t>
  </si>
  <si>
    <t>Census block; census tract; county; state, depending on assessment year and output</t>
  </si>
  <si>
    <t>Annual AirToxScreen assessments beginning with 2017; latest verified assessment year is 2020; earlier comparable NATA assessments are available separately</t>
  </si>
  <si>
    <t>Annual assessment program; releases lag the emissions year because of inventory development, modeling, review, and quality assurance</t>
  </si>
  <si>
    <t>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t>
  </si>
  <si>
    <t>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t>
  </si>
  <si>
    <t>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t>
  </si>
  <si>
    <t>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t>
  </si>
  <si>
    <t>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t>
  </si>
  <si>
    <t>DS-070</t>
  </si>
  <si>
    <t>EPA National Emissions Inventory (NEI)</t>
  </si>
  <si>
    <t>https://www.epa.gov/air-emissions-inventories/national-emissions-inventory-nei</t>
  </si>
  <si>
    <t>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t>
  </si>
  <si>
    <t>Public webpages, downloadable inventory files, summaries, technical documentation, and online retrieval tools</t>
  </si>
  <si>
    <t>Air emissions; Air quality; Hazardous air pollutants; Criteria pollutants; Industrial facilities; Mobile sources; Fires; Source inventory; Environmental modeling; Area-level data</t>
  </si>
  <si>
    <t>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t>
  </si>
  <si>
    <t>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t>
  </si>
  <si>
    <t>Residents of the United States and territories potentially affected by air emissions from inventoried sources</t>
  </si>
  <si>
    <t>Facility; emission unit; county; Tribal area; state, depending on source category and file</t>
  </si>
  <si>
    <t>Full triennial inventories available for multiple years from 1990 through 2020; 2023 release pending or in final publication process as of 2026; additional annual modeling platforms and emissions summaries are available for selected years</t>
  </si>
  <si>
    <t>Every three years for the full NEI; supplemental modeling platforms and trend products updated more frequently</t>
  </si>
  <si>
    <t>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t>
  </si>
  <si>
    <t>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t>
  </si>
  <si>
    <t>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t>
  </si>
  <si>
    <t>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t>
  </si>
  <si>
    <t>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t>
  </si>
  <si>
    <t>DS-071</t>
  </si>
  <si>
    <t>EPA Toxics Release Inventory (TRI)</t>
  </si>
  <si>
    <t>https://www.epa.gov/toxics-release-inventory-tri-program</t>
  </si>
  <si>
    <t>Annual facility-level data on toxic chemical releases, waste management, off-site transfers, recycling, treatment, energy recovery, and pollution-prevention activities reported by covered industrial and federal facilities.</t>
  </si>
  <si>
    <t>Public interactive tools, maps, reports, downloadable annual files, facility records, and Envirofacts searches</t>
  </si>
  <si>
    <t>Industrial pollution; Toxic chemicals; Facility-level data; Environmental justice; Pollution prevention; Air releases; Water releases; Land disposal; Waste management; Longitudinal data</t>
  </si>
  <si>
    <t>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t>
  </si>
  <si>
    <t>Toxic chemical releases; industrial emissions; air pollution; surface-water discharges; underground injection; land disposal; off-site waste transfers; chemical recycling; energy recovery; treatment; pollution prevention; source reduction; facility environmental performance</t>
  </si>
  <si>
    <t>Residents and communities potentially affected by toxic chemical releases and waste-management activities from covered industrial and federal facilities in the United States and territories</t>
  </si>
  <si>
    <t>Facility; ZIP code; county; state; tribal area</t>
  </si>
  <si>
    <t>1987–present; latest complete files currently include reporting year 2024, with prior-year submissions subject to revision</t>
  </si>
  <si>
    <t>Annual, with preliminary data followed by complete data and later revisions</t>
  </si>
  <si>
    <t>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t>
  </si>
  <si>
    <t>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t>
  </si>
  <si>
    <t>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t>
  </si>
  <si>
    <t>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t>
  </si>
  <si>
    <t>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t>
  </si>
  <si>
    <t>DS-072</t>
  </si>
  <si>
    <t>EPA Risk-Screening Environmental Indicators (RSEI)</t>
  </si>
  <si>
    <t>https://www.epa.gov/rsei</t>
  </si>
  <si>
    <t>Screening-level model that places TRI-reported toxic chemical releases and waste-management activities into a relative health-impact context by incorporating chemical toxicity, environmental fate and transport, modeled exposure pathways, and potentially exposed populations.</t>
  </si>
  <si>
    <t>Public website, interactive EasyRSEI dashboard, downloadable model results, geographic microdata, technical documentation, and data dictionary</t>
  </si>
  <si>
    <t>Toxic chemicals; Industrial pollution; Environmental justice; Exposure modeling; Risk screening; Cancer risk; Noncancer effects; Facility-level data; Geospatial data; Longitudinal data</t>
  </si>
  <si>
    <t>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t>
  </si>
  <si>
    <t>Toxic chemical releases; industrial pollution; modeled air exposure; modeled water exposure; chemical toxicity; environmental fate and transport; chronic cancer effects; chronic noncancer effects; population exposure; facility prioritization; environmental justice; pollution trends</t>
  </si>
  <si>
    <t>Residents of the United States potentially affected by modeled air and water pathways from TRI-reporting industrial and federal facilities</t>
  </si>
  <si>
    <t>810-meter grid cell; Census block group; census tract; ZIP code; county; facility; state, depending on product</t>
  </si>
  <si>
    <t>TRI reporting years 1988–2022 in RSEI Version 2.3.12; EasyRSEI standard dashboard emphasizes 2013–2022</t>
  </si>
  <si>
    <t>Annual model release following updated TRI reporting data; all historical years are recalculated using the latest model methodology</t>
  </si>
  <si>
    <t>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t>
  </si>
  <si>
    <t>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t>
  </si>
  <si>
    <t>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t>
  </si>
  <si>
    <t>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t>
  </si>
  <si>
    <t>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t>
  </si>
  <si>
    <t>DS-073</t>
  </si>
  <si>
    <t>EPA Enforcement and Compliance History Online (ECHO)</t>
  </si>
  <si>
    <t>https://echo.epa.gov/</t>
  </si>
  <si>
    <t>Integrated public portal for locating regulated facilities and examining environmental permits, inspections, compliance status, violations, enforcement actions, penalties, pollutant discharges, and surrounding community characteristics across major federal environmental programs.</t>
  </si>
  <si>
    <t>Public facility searches, detailed facility reports, dashboards, maps, bulk downloads, map services, and query-only web services; optional user accounts support selected notification or saved-search functions.</t>
  </si>
  <si>
    <t>Regulatory compliance; Environmental enforcement; Facility-level data; Industrial pollution; Drinking water; Wastewater; Hazardous waste; Air regulation; Environmental justice; Permits; Inspections; Longitudinal data</t>
  </si>
  <si>
    <t>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t>
  </si>
  <si>
    <t>Environmental regulation; facility compliance; permits; inspections; violations; enforcement actions; penalties; air-program compliance; wastewater and stormwater discharges; drinking-water compliance; hazardous-waste regulation; pollutant loadings; industrial facilities; community demographics</t>
  </si>
  <si>
    <t>Residents and communities located near or served by regulated facilities, public water systems, wastewater systems, hazardous-waste handlers, and other entities covered by EPA environmental programs</t>
  </si>
  <si>
    <t>Facility; public water system; permitted discharge point; county; state; watershed</t>
  </si>
  <si>
    <t>Varies by regulatory program and product; facility searches generally display five years of inspection and enforcement history, detailed facility reports provide approximately ten years, formal EPA enforcement cases may include all available years, and bulk downloads may provide additional history.</t>
  </si>
  <si>
    <t>Typically weekly, with schedules varying by contributing EPA data system</t>
  </si>
  <si>
    <t>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t>
  </si>
  <si>
    <t>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t>
  </si>
  <si>
    <t>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t>
  </si>
  <si>
    <t>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t>
  </si>
  <si>
    <t>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t>
  </si>
  <si>
    <t>DS-074</t>
  </si>
  <si>
    <t>EPA Facility Registry Service (FRS)</t>
  </si>
  <si>
    <t>https://www.epa.gov/frs</t>
  </si>
  <si>
    <t>Central facility-identification and geospatial registry that consolidates facility names, locations, identifiers, industrial classifications, and environmental-program affiliations from EPA, state, Tribal, and other partner systems to support facility matching and cross-dataset linkage.</t>
  </si>
  <si>
    <t>Public facility search, downloadable state and national CSV files, geospatial downloads, REST APIs, ArcGIS map services, and custom query tools; selected intergovernmental or internal services require authentication.</t>
  </si>
  <si>
    <t>SDOH/geospatial; Facility registry; Environmental regulation; Data integration; Facility identifiers; Industrial facilities; Geocoding; Cross-dataset linkage; Area-level data</t>
  </si>
  <si>
    <t>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t>
  </si>
  <si>
    <t>Environmental facilities; regulated sites; industrial facilities; facility identification; facility geolocation; air programs; water programs; hazardous waste; toxic releases; contaminated sites; drinking-water systems; wastewater facilities; environmental data integration</t>
  </si>
  <si>
    <t>Residents and communities located near facilities, sites, public water systems, wastewater facilities, and other locations represented in EPA or partner environmental-program systems</t>
  </si>
  <si>
    <t>Facility or site</t>
  </si>
  <si>
    <t>Current integrated facility registry; availability and historical coverage of linked program records vary by contributing system</t>
  </si>
  <si>
    <t>Continuous, weekly, biweekly, or monthly depending on the contributing program system</t>
  </si>
  <si>
    <t>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t>
  </si>
  <si>
    <t>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t>
  </si>
  <si>
    <t>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t>
  </si>
  <si>
    <t>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t>
  </si>
  <si>
    <t>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t>
  </si>
  <si>
    <t>DS-075</t>
  </si>
  <si>
    <t>EPA Superfund Data and Reports / NPL Sites</t>
  </si>
  <si>
    <t>Official national repository and search system for identifying active and archived Superfund sites and examining site location, National Priorities List status, contaminants, affected media, site assessment, cleanup actions, remedies, enforcement activities, and remediation progress.</t>
  </si>
  <si>
    <t>Public SEMS search, NPL site tables and maps, site profiles, downloadable reports, document collections, and separate geospatial boundary data; bulk products are distributed across multiple EPA pages and formats.</t>
  </si>
  <si>
    <t>SDOH/geospatial; Contaminated sites; Hazardous waste; Superfund; Environmental justice; Cleanup and remediation; Facility-level data; Soil contamination; Groundwater contamination; Historical data</t>
  </si>
  <si>
    <t>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t>
  </si>
  <si>
    <t>Hazardous-waste sites; contaminated land; soil contamination; groundwater contamination; surface-water contamination; sediment contamination; site assessment; remediation; cleanup status; contaminants of concern; institutional controls; engineering controls; enforcement and settlements</t>
  </si>
  <si>
    <t>Residents and communities located near active, archived, proposed, final, or deleted Superfund and related hazardous-waste sites in the United States and territories</t>
  </si>
  <si>
    <t>Superfund site; facility; site boundary; county; state</t>
  </si>
  <si>
    <t>1983–present in SEMS; selected historical CERCLIS records and Superfund actions extend to earlier program years</t>
  </si>
  <si>
    <t>Ongoing; update schedule varies by SEMS product, report, and site record</t>
  </si>
  <si>
    <t>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t>
  </si>
  <si>
    <t>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t>
  </si>
  <si>
    <t>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t>
  </si>
  <si>
    <t>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t>
  </si>
  <si>
    <t>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t>
  </si>
  <si>
    <t>DS-076</t>
  </si>
  <si>
    <t>EnviroAtlas for Brownfields</t>
  </si>
  <si>
    <t>https://epa.maps.arcgis.com/home/item.html?id=e5f95175f9184d508be636377796f1c2</t>
  </si>
  <si>
    <t>Curated collection of national geospatial layers supporting Brownfields grant applications, community assessment, cleanup planning, redevelopment, environmental justice analysis, and evaluation of environmental, demographic, health, infrastructure, and community conditions surrounding Brownfields projects.</t>
  </si>
  <si>
    <t>Public ArcGIS web map and EnviroAtlas Interactive Map collection; underlying map layers can be viewed and, depending on the individual service, queried or downloaded.</t>
  </si>
  <si>
    <t>Brownfields; Environmental exposure; Environmental justice; Community vulnerability; Land revitalization; Demographics; Health indicators; Ecosystem services; Infrastructure; Grant planning</t>
  </si>
  <si>
    <t>EnviroAtlas for Brownfields; EPA Brownfields; Brownfields Featured Collection; brownfield redevelopment; contaminated properties; environmental justice; community vulnerability; grant application; land revitalization; demographic indicators; environmental indicators; health indicators; ecosystem services; ACRES; Brownfields site locations</t>
  </si>
  <si>
    <t>Brownfields planning; environmental justice; community demographics; environmental conditions; public health indicators; contaminated-site context; redevelopment; transportation; green space; ecosystem services; community assets and vulnerabilities</t>
  </si>
  <si>
    <t>Residents and communities surrounding existing or potential Brownfields projects and areas being considered for EPA Brownfields funding or redevelopment</t>
  </si>
  <si>
    <t>Varies by layer; Brownfields site, census block group, census tract, county, watershed, community, and raster grid</t>
  </si>
  <si>
    <t>Varies by underlying layer and data provider</t>
  </si>
  <si>
    <t>Varies by underlying layer; collection membership and individual services may be updated independently</t>
  </si>
  <si>
    <t>Brownfields or regulated-site locations; population characteristics; income and poverty; race and ethnicity; age; housing; health indicators; transportation access; land cover; green space; water resources; air and environmental conditions; ecosystem services; community assets; environmental burdens; census geographic identifiers</t>
  </si>
  <si>
    <t>Describe communities surrounding Brownfields properties; identify environmental and social vulnerabilities; support EPA Brownfields grant narratives; compare potential redevelopment areas; evaluate access to green space and community assets; link Brownfields locations with HIV, health-disparity, demographic, and environmental indicators; generate community maps and screening profiles</t>
  </si>
  <si>
    <t>EPA ACRES Brownfields Properties; EPA Facility Registry Service; EPA Cleanups in My Community; EPA EJScreen; CDC/ATSDR Environmental Justice Index; American Community Survey; Census TIGER/Line; state Brownfields and voluntary-cleanup records</t>
  </si>
  <si>
    <t>This is a curated web-map collection rather than a single standardized dataset. Layer definitions, dates, geographic units, coverage, methods, and update schedules differ. Inclusion in the collection does not mean that every layer directly measures Brownfields contamination or exposure. Some indicators describe general community context. Brownfields locations may represent properties receiving EPA funding or assistance rather than a comprehensive inventory of all potentially contaminated properties. Users must review the metadata for every layer used.</t>
  </si>
  <si>
    <t>Public area-level data with no identifiable individual health records. Linking the layers to protected HIV, clinical, claims, or surveillance records requires compliance with the governance requirements of those health datasets. Document every selected layer, source year, geographic unit, extraction date, and spatial-linkage method.</t>
  </si>
  <si>
    <t>DS-077</t>
  </si>
  <si>
    <t>EPA Brownfields Site Information</t>
  </si>
  <si>
    <t>https://map22.epa.gov/cimc/brownfields</t>
  </si>
  <si>
    <t>Public property-level information on Brownfields addressed using EPA funding or technical assistance, including property location, assessment activities, potential or confirmed contamination, cleanup progress, controls, redevelopment, and reuse accomplishments.</t>
  </si>
  <si>
    <t>Public map, searchable property profiles, Excel and CSV downloads through Cleanups in My Community; full ACRES reporting system restricted to EPA Brownfields staff and authorized grant or contract recipients.</t>
  </si>
  <si>
    <t>SDOH/geospatial; Brownfields; Contaminated sites; Land revitalization; Environmental justice; Cleanup and remediation; Redevelopment; Property-level data; Community development</t>
  </si>
  <si>
    <t>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t>
  </si>
  <si>
    <t>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t>
  </si>
  <si>
    <t>Residents and communities surrounding properties assessed, cleaned up, or redeveloped using EPA Brownfields funding or technical assistance</t>
  </si>
  <si>
    <t>Brownfield property or site; grant jurisdiction; address; county; state</t>
  </si>
  <si>
    <t>1998–present; EPA-funded Brownfields property reporting has been required since 2003</t>
  </si>
  <si>
    <t>Twice monthly; public ACRES data are transferred to CIMC on the 4th and 18th of each month</t>
  </si>
  <si>
    <t>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t>
  </si>
  <si>
    <t>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t>
  </si>
  <si>
    <t>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t>
  </si>
  <si>
    <t>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t>
  </si>
  <si>
    <t>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t>
  </si>
  <si>
    <t>DS-078</t>
  </si>
  <si>
    <t>Water Quality Portal (WQP)</t>
  </si>
  <si>
    <t>https://www.waterqualitydata.us/</t>
  </si>
  <si>
    <t>National portal for discovering, querying, and downloading discrete physical, chemical, biological, and habitat-related water-quality monitoring results from EPA, USGS, and state, Tribal, federal, local, academic, watershed, and volunteer monitoring programs.</t>
  </si>
  <si>
    <t>Public web query, downloadable CSV, tab-delimited and Excel files, geospatial services, and public REST web services; no registration required for data retrieval.</t>
  </si>
  <si>
    <t>Water quality; Environmental monitoring; Surface water; Groundwater; SDOH/geospatial; Aquatic ecosystems; Drinking water; Biological monitoring; Monitoring-site data; Time-series data</t>
  </si>
  <si>
    <t>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t>
  </si>
  <si>
    <t>Water chemistry; surface-water quality; groundwater quality; nutrients; metals; organic chemicals; PFAS; pesticides; pharmaceuticals; pathogens; bacteria; physical water characteristics; sediment; aquatic biology; habitat assessment; drinking-water source quality; watershed condition</t>
  </si>
  <si>
    <t>Water bodies, groundwater resources, sediments, aquatic organisms, and other environmental media represented by samples collected at monitoring locations</t>
  </si>
  <si>
    <t>Monitoring site; water body; watershed/HUC; county; state;</t>
  </si>
  <si>
    <t>Varies by monitoring organization, site, and characteristic; historical and current records through the present</t>
  </si>
  <si>
    <t>Ongoing; varies by contributing organization and source system</t>
  </si>
  <si>
    <t>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t>
  </si>
  <si>
    <t>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t>
  </si>
  <si>
    <t>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t>
  </si>
  <si>
    <t>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t>
  </si>
  <si>
    <t>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t>
  </si>
  <si>
    <t>DS-079</t>
  </si>
  <si>
    <t>How's My Waterway</t>
  </si>
  <si>
    <t>EPA / Data.gov</t>
  </si>
  <si>
    <t>https://mywaterway.epa.gov/</t>
  </si>
  <si>
    <t>Interactive public dashboard integrating local, state, Tribal, and national information on surface-water condition, swimming, fish consumption, aquatic life, impairments, restoration and protection activities, permitted dischargers, discharge violations, drinking water, and water monitoring.</t>
  </si>
  <si>
    <t>Public interactive web application with maps, community, state, Tribal, waterbody, and national reports; selected maps, reports, monitoring results, and ATTAINS information can be printed, exported, or downloaded.</t>
  </si>
  <si>
    <t>Reports/dashboard; SDOH/geospatial; Water quality; Watersheds; Impaired waters; Drinking water; Permitted dischargers; Water monitoring; Restoration; Environmental justice; Public communication</t>
  </si>
  <si>
    <t>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t>
  </si>
  <si>
    <t>Surface-water condition; swimming; fish consumption; aquatic life; impairments; causes of impairment; restoration and protection; permitted wastewater dischargers; discharge violations; drinking-water systems; water monitoring; cyanobacteria; watershed health; state and national water metrics</t>
  </si>
  <si>
    <t>Residents, water users, and communities associated with U.S. watersheds, waterbodies, states, territories, and Tribal areas represented in the application</t>
  </si>
  <si>
    <t>HUC12 watershed; waterbody; community; state; Tribal area; national</t>
  </si>
  <si>
    <t>Varies by component; monitoring records may extend to the late 1800s, while assessment, discharge, drinking-water, restoration, satellite, and other data reflect the periods available in their underlying source systems</t>
  </si>
  <si>
    <t>Ongoing; application releases occur periodically, while underlying datasets refresh on different schedules</t>
  </si>
  <si>
    <t>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t>
  </si>
  <si>
    <t>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t>
  </si>
  <si>
    <t>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t>
  </si>
  <si>
    <t>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t>
  </si>
  <si>
    <t>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t>
  </si>
  <si>
    <t>DS-080</t>
  </si>
  <si>
    <t>EPA ATTAINS</t>
  </si>
  <si>
    <t>https://www.epa.gov/waterdata/attains</t>
  </si>
  <si>
    <t>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t>
  </si>
  <si>
    <t>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t>
  </si>
  <si>
    <t>SDOH/geospatial; Water quality; Impaired waters; Regulatory assessment; TMDL; Surface water; Restoration planning; Watershed management; Area-level data; Longitudinal data</t>
  </si>
  <si>
    <t>EPA ATTAINS; Assessment TMDL Tracking and Implementation System; impaired waters; 303(d) list; 305(b) assessment; Integrated Report; water quality assessment; designated use; use support; assessment unit; cause of impairment; probable source; Total Maximum Daily Load; TMDL; restoration plan; protection approach; surface water; watershed; NHDPlus; South Carolina impaired waters</t>
  </si>
  <si>
    <t>Surface-water condition; designated-use attainment; impaired waters; pathogens; nutrients; dissolved oxygen; metals; sediment; toxic contaminants; fish consumption; recreation; aquatic life; drinking-water source use; TMDLs; restoration plans; protection approaches</t>
  </si>
  <si>
    <t>Surface waters assessed by states, territories, and authorized Tribes, including rivers, streams, lakes, reservoirs, estuaries, coastal waters, wetlands, and Great Lakes waters</t>
  </si>
  <si>
    <t>State-defined assessment unit; waterbody; NHDPlus catchment; HUC12 watershed; state</t>
  </si>
  <si>
    <t>Varies by jurisdiction; includes multiple biennial reporting cycles, historical pre-2015 records, and current assessment and action records</t>
  </si>
  <si>
    <t>Biennial by jurisdiction; geospatial data are updated when an assessment cycle is submitted and again after final EPA action, with services and exports refreshed as new data become available</t>
  </si>
  <si>
    <t>Reporting organization; reporting cycle; assessment unit identifier; assessment unit name; waterbody type; waterbody size and units; state-submitted geometry; HUC and NHDPlus catchment associations; designated use; use-support status; assessed parameter; cause of impairment; probable source of impairment; EPA Integrated Reporting category; 303(d) listing status; priority; action type; TMDL identifier; TMDL pollutant; restoration or protection plan; completion and approval dates; EPA action status</t>
  </si>
  <si>
    <t>Identify impaired or assessed surface waters; determine whether recreational, aquatic-life, fish-consumption, or drinking-water-source uses are supported; analyze causes and probable sources of impairment; locate waters with completed or planned TMDLs; examine changes across assessment cycles; characterize watershed context for public-health and environmental-justice research; link waterbody status with community demographics, health outcomes, or permitted dischargers</t>
  </si>
  <si>
    <t>EPA How's My Waterway; Water Quality Portal; EPA WATERS/NHDPlus; EPA ECHO and NPDES data; EPA Safe Drinking Water Information System; EPA BEACON; EPA EnviroAtlas; CDC/ATSDR Environmental Justice Index; American Community Survey; South Carolina Department of Environmental Services water-quality data</t>
  </si>
  <si>
    <t>ATTAINS contains regulatory assessment decisions rather than individual laboratory sample results. States, territories, and Tribes differ in water-quality standards, assessment methods, monitored parameters, assessment-unit definitions, and reporting schedules, so direct interstate comparisons require caution. Only evaluated waters are represented; absence of an impairment listing does not necessarily indicate good water quality. Assessment-unit boundaries and identifiers may change between cycles. Data currency varies by jurisdiction. Expert Query tables have many-to-many relationships that can create duplicate rows or incorrect counts if records are summarized without identifying the correct unit of analysis.</t>
  </si>
  <si>
    <t>Public waterbody- and area-level information with no identifiable individual health records. Linking ATTAINS data to protected HIV, clinical, claims, or surveillance records requires compliance with the confidentiality, geocoding, suppression, IRB, and data-use requirements of the health dataset. Do not interpret impairment status as an individual exposure or health outcome. Document the jurisdiction, reporting cycle, assessment-unit version, extraction date, parameter, use category, and geographic-linkage method.</t>
  </si>
  <si>
    <t>DS-081</t>
  </si>
  <si>
    <t>EPA WATERS Geospatial Data</t>
  </si>
  <si>
    <t>USGS / EPA / NWQMC</t>
  </si>
  <si>
    <t>https://www.epa.gov/waterdata/waters-geospatial-data-downloads</t>
  </si>
  <si>
    <t>National geospatial framework providing hydrologically connected GIS datasets, stream networks, catchments, watersheds, assessment units, and linked EPA water-program layers for watershed delineation, upstream/downstream tracing, spatial analysis, and integration of EPA water data.</t>
  </si>
  <si>
    <t>Public geodatabases, shapefiles, feature services, ArcGIS REST services, downloadable GIS layers, and web services.</t>
  </si>
  <si>
    <t>SDOH/geospatial; Hydrography; Watersheds; Stream network; GIS; NHDPlus; Catchments; Water resources; Spatial analysis; Hydrologic modeling</t>
  </si>
  <si>
    <t>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t>
  </si>
  <si>
    <t>Hydrography; stream networks; watersheds; catchments; hydrologic connectivity; waterbody geometry; assessment-unit boundaries; watershed delineation; flow-path analysis; GIS integration; environmental spatial analysis</t>
  </si>
  <si>
    <t>Surface-water features and hydrologic units represented in the national hydrographic network</t>
  </si>
  <si>
    <t>Stream reach; flowline; catchment; watershed/HUC; assessment unit; waterbody</t>
  </si>
  <si>
    <t>Current national hydrographic and linked water-program layers; update history varies by individual dataset</t>
  </si>
  <si>
    <t>Varies by dataset; updated as underlying EPA water-program and hydrographic layers are revised</t>
  </si>
  <si>
    <t>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t>
  </si>
  <si>
    <t>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t>
  </si>
  <si>
    <t>EPA ATTAINS; EPA How's My Waterway; Water Quality Portal; EPA NHDPlus; EPA ECHO/NPDES; EPA Safe Drinking Water Information System; EPA EnviroAtlas; USGS National Hydrography Dataset; American Community Survey; Census TIGER/Line</t>
  </si>
  <si>
    <t>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t>
  </si>
  <si>
    <t>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t>
  </si>
  <si>
    <t>DS-082</t>
  </si>
  <si>
    <t>USGS Water Data for the Nation / NWIS</t>
  </si>
  <si>
    <t>https://waterdata.usgs.gov/</t>
  </si>
  <si>
    <t>National access system for current and historical USGS hydrologic and water-quality information collected at monitoring locations, including continuous sensor data, daily values, manual field measurements, discrete environmental samples, monitoring-site metadata, and derived statistics.</t>
  </si>
  <si>
    <t>Public monitoring-location pages, maps, graphs, tables, data downloads, National Water Dashboard, REST/OGC APIs, and R/Python data-access tools; an API key is available for higher request-rate limits.</t>
  </si>
  <si>
    <t>Water quality; Hydrology; Surface water; Groundwater; Streamflow; Water levels; Environmental monitoring; SDOH/geospatial; Monitoring-site data; Time-series data; Real-time data</t>
  </si>
  <si>
    <t>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t>
  </si>
  <si>
    <t>Streamflow; river and stream levels; lakes and reservoirs; groundwater levels; wells and aquifers; floods; drought; precipitation; water temperature; physical water quality; chemical water quality; sediment; biological samples; hydrologic statistics</t>
  </si>
  <si>
    <t>Surface waters, groundwater systems, and associated communities represented by USGS monitoring locations across U.S. states and territories</t>
  </si>
  <si>
    <t>Monitoring location; streamgage; well; spring; lake or reservoir site; county; watershed/HUC</t>
  </si>
  <si>
    <t>More than 135 years; varies by monitoring location, parameter, and data category, with historical and current records through the present</t>
  </si>
  <si>
    <t>Ongoing; telemetered continuous data may be available within minutes, while daily values, field measurements, and discrete samples are added as processing and laboratory work are completed. Recent records may remain provisional until reviewed and approved.</t>
  </si>
  <si>
    <t>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t>
  </si>
  <si>
    <t>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t>
  </si>
  <si>
    <t>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t>
  </si>
  <si>
    <t>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t>
  </si>
  <si>
    <t>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t>
  </si>
  <si>
    <t>DS-083</t>
  </si>
  <si>
    <t>NOAA Climate Data Online (CDO)</t>
  </si>
  <si>
    <t>https://www.ncei.noaa.gov/cdo-web/</t>
  </si>
  <si>
    <t>Portal for discovering and downloading observed historical weather and climate data and station metadata from multiple NOAA/NCEI collections, including daily, monthly, seasonal, annual, hourly, radar, precipitation, and climate-normal products.</t>
  </si>
  <si>
    <t>Public search and mapping tools, free data orders and downloads, dataset-specific tools, bulk files, and web services; the CDO API requires a free email-issued token; certified copies for legal use may require payment.</t>
  </si>
  <si>
    <t>Climate; Weather; Temperature; Precipitation; Wind; Snow; Humidity; Climate normals; Environmental monitoring; Station data; Time-series data; SDOH/geospatial</t>
  </si>
  <si>
    <t>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t>
  </si>
  <si>
    <t>Temperature; extreme heat; extreme cold; precipitation; heavy rainfall; drought-related conditions; snowfall; snow depth; wind; humidity; dew point; atmospheric pressure; degree days; climate normals; routine weather observations; radar observations</t>
  </si>
  <si>
    <t>Weather-observing locations and surrounding land areas and populations worldwide</t>
  </si>
  <si>
    <t>Weather station; city; county; state; country, depending on dataset and search</t>
  </si>
  <si>
    <t>Varies by dataset and station; selected daily records date to 1750, with current observations through the present; most stations cover substantially shorter periods.</t>
  </si>
  <si>
    <t>Ongoing; varies by dataset; major daily station products update seven days per week, while monthly, annual, normals, radar, and other products follow dataset-specific schedules.</t>
  </si>
  <si>
    <t>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t>
  </si>
  <si>
    <t>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t>
  </si>
  <si>
    <t>PRISM Climate Data; NOAA Storm Events Database; GHCN-Daily; NOAA Local Climatological Data; NOAA U.S. Climate Normals; CDC Heat and Health Tracker; EPA AirData/AQS; USGS Water Data for the Nation; American Community Survey; Daymet; gridMET</t>
  </si>
  <si>
    <t>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t>
  </si>
  <si>
    <t>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t>
  </si>
  <si>
    <t>DS-084</t>
  </si>
  <si>
    <t>NOAA nClimGrid Daily / EpiNOAA County Dataset</t>
  </si>
  <si>
    <t>USGS</t>
  </si>
  <si>
    <t>https://arc.ncics.org/nclimgrid-overview/</t>
  </si>
  <si>
    <t>Analysis-ready daily county-level time series of area-averaged maximum, minimum, and mean temperature and precipitation derived from NOAA nClimGrid-Daily for climate monitoring, epidemiologic exposure assignment, and longitudinal public-health research.</t>
  </si>
  <si>
    <t>Public direct CSV and Parquet downloads through NOAA-hosted cloud storage; R package and interactive access options are also available; no registration or credentials required.</t>
  </si>
  <si>
    <t>Climate; Weather; Extreme heat; Extreme cold; Precipitation; County-level data; SDOH/geospatial; Analysis-ready data; Time-series data; Epidemiology</t>
  </si>
  <si>
    <t>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t>
  </si>
  <si>
    <t>Daily temperature; extreme heat; extreme cold; precipitation; heavy rainfall; drought-related conditions; flood-related climate conditions; climate variability; weather exposure</t>
  </si>
  <si>
    <t>Residents and land areas of counties in the contiguous United States, represented through county-area-average daily climate estimates</t>
  </si>
  <si>
    <t xml:space="preserve"> Data are available from 1951 to the present. </t>
  </si>
  <si>
    <t xml:space="preserve">Daily data are updated every 3 days with a preliminary data file and replaced with the scaled (i.e., quality controlled) data file every three months. </t>
  </si>
  <si>
    <t>Date; year; month; day; county or regional identifier; county name; state identifier; daily maximum temperature (Tmax, °C); daily minimum temperature (Tmin, °C); daily average temperature (Tavg, °C); daily precipitation amount (Prcp, mm); preliminary or scaled data status; product version</t>
  </si>
  <si>
    <t>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t>
  </si>
  <si>
    <t>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t>
  </si>
  <si>
    <t>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t>
  </si>
  <si>
    <t>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t>
  </si>
  <si>
    <t>DS-085</t>
  </si>
  <si>
    <t>PRISM Climate Data</t>
  </si>
  <si>
    <t>PRISM Climate Group, Oregon State University</t>
  </si>
  <si>
    <t>https://prism.oregonstate.edu/https://prism.oregonstate.edu/</t>
  </si>
  <si>
    <t>Terrain-sensitive gridded estimates of precipitation, temperature, humidity, and solar radiation for assigning daily, monthly, annual, and long-term climate conditions to locations and geographic areas.</t>
  </si>
  <si>
    <t>Public data explorer, raster-grid downloads, data directory, FTP access, and web services; attribution required under PRISM terms of use</t>
  </si>
  <si>
    <t>Climate; Weather; Temperature; Precipitation; Humidity; SDOH/geospatial; Raster data; Exposure modeling; Longitudinal data</t>
  </si>
  <si>
    <t>Temperature; extreme heat; precipitation; rainfall; humidity; dew point; vapor pressure deficit; solar irradiance; climate normals; climate anomalies; drought-related conditions; flood-related climate conditions</t>
  </si>
  <si>
    <t>Land areas and populations in the conterminous United States, represented through gridded climate estimates</t>
  </si>
  <si>
    <t>800-meter or 4-kilometer raster grid cell</t>
  </si>
  <si>
    <t>Daily: 1981–present; monthly and annual: 1895–present; current normals: 1991–2020</t>
  </si>
  <si>
    <t>Ongoing; daily and monthly products are revised during a rolling six-month quality-control period</t>
  </si>
  <si>
    <t>Precipitation total (ppt); minimum temperature (tmin); maximum temperature (tmax); mean temperature (tmean); mean dew point temperature (tdmean); minimum and maximum vapor pressure deficit (vpdmin and vpdmax); total solar irradiance on horizontal and sloped surfaces (soltotal and solslope); clear-sky solar irradiance and cloud transmittance for normals (solclear and soltrans); date; raster grid cell; spatial resolution; data version and stability status</t>
  </si>
  <si>
    <t>Assign daily or monthly climate exposures to residences, clinics, census areas, counties, or study sites; examine extreme heat and heat-related morbidity or mortality; evaluate climate conditions associated with HIV care access or outcomes; study precipitation, flooding, drought, vector-borne disease, respiratory disease, cardiovascular outcomes, and infectious-disease seasonality; calculate cumulative and lagged exposure measures; control for weather in epidemiologic models; support climate-vulnerability and adaptation planning</t>
  </si>
  <si>
    <t>NOAA/NCEI Climate Data Online; NOAA Global Historical Climatology Network; CDC Heat and Health Tracker; CDC Environmental Public Health Tracking Network; EPA AirData/AQS; USGS National Water Information System; American Community Survey; CDC PLACES; Census TIGER/Line; Daymet; gridMET</t>
  </si>
  <si>
    <t>Modeled and interpolated gridded estimates rather than measurements at every location. Accuracy depends on weather-station availability, reporting quality, terrain, coastal effects, and model assumptions. Nominal 800-meter resolution does not guarantee equivalent measurement precision and does not capture street-level, building-level, indoor, occupational, or personal exposure. Recent products may change during the six-month quality-control period. Station openings, closures, equipment or location changes, and observation-time changes can introduce temporal inhomogeneities. The standard all-networks time series prioritizes the best spatial estimate over temporal consistency, and PRISM does not recommend using its standard products to calculate very long-term trends. Variables, coverage, temporal periods, and resolution differ by product.</t>
  </si>
  <si>
    <t>Public non-human gridded climate data with no individual privacy restrictions. PRISM Group, Oregon State University retains ownership. Uses of the data should clearly identify the PRISM Group, its website, and the date of data access. Reproduced PRISM map graphics require the applicable copyright notice. When linking PRISM estimates to protected health records, follow the governance requirements of the health dataset and do not characterize grid-cell estimates as personally measured exposure. Document the product, variable, spatial resolution, temporal resolution, data version, stability status, access date, and spatial-extraction method.</t>
  </si>
  <si>
    <t>DS-086</t>
  </si>
  <si>
    <t>gridMET</t>
  </si>
  <si>
    <t>Climatology Lab, University of California, Merced</t>
  </si>
  <si>
    <t>https://www.climatologylab.org/gridmet.html</t>
  </si>
  <si>
    <t>Daily, spatially continuous gridded surface meteorological data for assigning temperature, precipitation, humidity, wind, solar radiation, evapotranspiration, vapor-pressure deficit, drought, and fire-weather conditions to locations and geographic areas.</t>
  </si>
  <si>
    <t>Public annual NetCDF downloads, wget-generated downloads, THREDDS/OPeNDAP services, Climate Engine access, USGS Zarr services, and Google Earth Engine; no approval required for direct files.</t>
  </si>
  <si>
    <t>Climate; Weather; Temperature; Precipitation; Humidity; Wind; Solar radiation; Evapotranspiration; Vapor pressure deficit; Drought; Wildfire; SDOH/geospatial; Raster data; Longitudinal data</t>
  </si>
  <si>
    <t>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t>
  </si>
  <si>
    <t>Daily temperature; extreme heat; extreme cold; precipitation; heavy rainfall; humidity; vapor-pressure deficit; wind; solar radiation; evapotranspiration; drought; wildfire danger; fuel moisture; climate variability</t>
  </si>
  <si>
    <t>Land areas and populations in the contiguous United States represented through approximately 4-kilometer gridded meteorological estimates</t>
  </si>
  <si>
    <t>Approximately 4-kilometer raster grid cell</t>
  </si>
  <si>
    <t>1979–present; generally available through the previous day</t>
  </si>
  <si>
    <t>Daily; observations from the most recent 60 days are preliminary and subject to replacement or revision</t>
  </si>
  <si>
    <t>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t>
  </si>
  <si>
    <t>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t>
  </si>
  <si>
    <t>PRISM Climate Data; NOAA nClimGrid-Daily and EpiNOAA; NOAA Climate Data Online; NOAA Storm Events Database; TerraClimate; Daymet; CDC Heat and Health Tracker; EPA AirData/AQS; USGS Water Data for the Nation; FEMA National Risk Index; American Community Survey</t>
  </si>
  <si>
    <t>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t>
  </si>
  <si>
    <t>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t>
  </si>
  <si>
    <t>DS-087</t>
  </si>
  <si>
    <t>NOAA Storm Events Database</t>
  </si>
  <si>
    <t>https://www.ncei.noaa.gov/stormevents/</t>
  </si>
  <si>
    <t>Event-based database documenting severe storms, unusual weather phenomena, and other significant meteorological events, including event timing and location, reported injuries and fatalities, property and crop damage, event magnitude, and descriptive narratives.</t>
  </si>
  <si>
    <t>Public interactive search, narrative search, annual bulk CSV files, event-location files, fatality files, documentation, and archived Storm Data publications; no account required.</t>
  </si>
  <si>
    <t>Climate; Weather; Natural hazards; Disasters; Emergency preparedness; Extreme heat; Flooding; Injury surveillance; Mortality; SDOH/geospatial; Event-level data; Longitudinal data</t>
  </si>
  <si>
    <t>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t>
  </si>
  <si>
    <t>Tornadoes; hurricanes; tropical storms; floods; flash floods; coastal flooding; storm surge; extreme heat; cold exposure; drought; wildfire; lightning; hail; damaging winds; heavy rain; winter storms; ice storms; rip currents; weather-related injuries; weather-related deaths; economic damage</t>
  </si>
  <si>
    <t>Residents and communities in the United States and territories affected by recorded severe or significant weather events; records also cover marine areas and forecast zones</t>
  </si>
  <si>
    <t>County or parish; NWS forecast zone; marine zone; event point or path; state or territory</t>
  </si>
  <si>
    <t>January 1950–present; currently available through March 2026; period of record varies by event type</t>
  </si>
  <si>
    <t>Monthly; generally updated approximately 75–90 days after the end of each data month</t>
  </si>
  <si>
    <t>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t>
  </si>
  <si>
    <t>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t>
  </si>
  <si>
    <t>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t>
  </si>
  <si>
    <t>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t>
  </si>
  <si>
    <t>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t>
  </si>
  <si>
    <t>DS-088</t>
  </si>
  <si>
    <t>FEMA National Risk Index</t>
  </si>
  <si>
    <t>FEMA National Risk Index for Natural Hazards</t>
  </si>
  <si>
    <t>https://www.fema.gov/flood-maps/products-tools/national-risk-index</t>
  </si>
  <si>
    <t>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t>
  </si>
  <si>
    <t>Public FEMA landing page, RAPT GIS web map, OpenFEMA downloadable files, FEMA ArcGIS county and census-tract feature layers, and technical documentation; no account required.</t>
  </si>
  <si>
    <t>Environmental exposure; Natural hazards; Disaster risk; Climate; Social vulnerability; Community resilience; Emergency preparedness; Hazard mitigation; Resilience planning; Area-level data</t>
  </si>
  <si>
    <t>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t>
  </si>
  <si>
    <t>Avalanche; coastal flooding; cold wave; drought; earthquake; hail; heat wave; hurricane; ice storm; inland flooding; landslide; lightning; strong wind; tornado; tsunami; volcanic activity; wildfire; winter weather; expected annual loss; social vulnerability; community resilience</t>
  </si>
  <si>
    <t>Residents, buildings, agricultural assets, and communities in U.S. counties and census tracts, represented through area-level hazard exposure, expected annual loss, social vulnerability, and community resilience measures</t>
  </si>
  <si>
    <t>Census tract; county; Tribal census tract; state-level Expected Annual Loss summaries, depending on product</t>
  </si>
  <si>
    <t>Multiple data versions since 2020; latest version 1.20 released in December 2025; underlying source periods vary by hazard and risk component</t>
  </si>
  <si>
    <t>Irregular/periodic; updated when major source datasets or methodologies are revised; latest major update December 2025</t>
  </si>
  <si>
    <t>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t>
  </si>
  <si>
    <t>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t>
  </si>
  <si>
    <t>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t>
  </si>
  <si>
    <t>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t>
  </si>
  <si>
    <t>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t>
  </si>
  <si>
    <t>DS-089</t>
  </si>
  <si>
    <t>USGS / MRLC National Land Cover Database (NLCD)</t>
  </si>
  <si>
    <t>MRLC Annual National Land Cover Database</t>
  </si>
  <si>
    <t>https://www.mrlc.gov/data/project/annual-nlcd</t>
  </si>
  <si>
    <t>Annual 30-meter raster data describing land cover, land-cover change, classification confidence, and impervious surfaces for analyzing urbanization, development, vegetation, wetlands, environmental context, and changes in the land surface over time.</t>
  </si>
  <si>
    <t>Public MRLC Viewer and area-of-interest downloads, GeoTIFF raster files, USGS EarthExplorer, ScienceBase archives, AWS cloud storage, and geospatial web services; no approval required.</t>
  </si>
  <si>
    <t>SDOH/geospatial; Land cover; Land use; Built environment; Impervious surface; Urbanization; Greenspace; Forest; Wetlands; Agriculture; Remote sensing; Raster data; Longitudinal data</t>
  </si>
  <si>
    <t>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t>
  </si>
  <si>
    <t>Land cover; land-cover change; developed land; urbanization; impervious surfaces; roads; open water; forest; shrubland; grassland; pasture; cultivated crops; wetlands; greenspace; land-surface disturbance</t>
  </si>
  <si>
    <t>Land areas and communities in the conterminous United States represented through 30-meter land-cover raster cells</t>
  </si>
  <si>
    <t>30-meter raster grid cell; current Annual NLCD core coverage is the conterminous United States</t>
  </si>
  <si>
    <t>1985–2025 in Annual NLCD Collection 1.2</t>
  </si>
  <si>
    <t>Annual; new releases extend and may reprocess the annual historical product series</t>
  </si>
  <si>
    <t>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t>
  </si>
  <si>
    <t>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t>
  </si>
  <si>
    <t>EPA EnviroAtlas; EPA EJScreen; CDC/ATSDR Environmental Justice Index; American Community Survey; Census TIGER/Line; PRISM Climate Data; gridMET; NOAA nClimGrid/EpiNOAA; FEMA National Risk Index; EPA WATERS/NHDPlus; USGS Landsat; USDA Cropland Data Layer; USFS Tree Canopy Cover data</t>
  </si>
  <si>
    <t>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t>
  </si>
  <si>
    <t>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t>
  </si>
  <si>
    <t>DS-090</t>
  </si>
  <si>
    <t>USGS Protected Areas Database of the U.S. (PAD-US)</t>
  </si>
  <si>
    <t>USGS PAD-US Data Overview and Downloads</t>
  </si>
  <si>
    <t>https://www.usgs.gov/programs/gap-analysis-project/science/pad-us-data-overview</t>
  </si>
  <si>
    <t>National geospatial inventory of public lands, protected areas, conservation easements, marine protected areas, management designations, and other open-space lands and waters, including conservation status, ownership or management, and general public-access information.</t>
  </si>
  <si>
    <t>Public national and state geodatabases, vector and raster analysis files, KMZ files, ArcGIS web services, interactive Data Explorer, and summary-statistics dashboard.</t>
  </si>
  <si>
    <t>Environmental exposure; Protected areas; Public lands; Parks; Open space; Greenspace; Recreation access; Biodiversity; Conservation; Land management; Cultural resources; Emergency planning</t>
  </si>
  <si>
    <t>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t>
  </si>
  <si>
    <t>Protected lands; public lands; parks; open space; recreation access; biodiversity conservation; land ownership; land management; conservation easements; wilderness; natural-resource management; marine protected areas; cultural and historic areas</t>
  </si>
  <si>
    <t>Residents and communities located near, or potentially served by, public lands, protected areas, parks, conservation lands, and other open-space lands and waters</t>
  </si>
  <si>
    <t>Protected-area or management-boundary polygon; public-land parcel; conservation easement; marine protected area; county; state</t>
  </si>
  <si>
    <t>Versioned releases; latest version PAD-US 4.1 released March 2025; establishment-year information is incomplete</t>
  </si>
  <si>
    <t>Irregular/periodic; updated as federal, state, local, Tribal, and nonprofit source data become available</t>
  </si>
  <si>
    <t>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t>
  </si>
  <si>
    <t>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t>
  </si>
  <si>
    <t>Annual National Land Cover Database; EPA EnviroAtlas; Trust for Public Land ParkServe; American Community Survey; Census TIGER/Line; CDC/ATSDR Environmental Justice Index; EPA EJScreen; FEMA National Risk Index; USGS National Map; state and local parks or recreation datasets</t>
  </si>
  <si>
    <t>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t>
  </si>
  <si>
    <t>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t>
  </si>
  <si>
    <t>DS-091</t>
  </si>
  <si>
    <t>USGS Estimated Annual Agricultural Pesticide Use</t>
  </si>
  <si>
    <t>USGS / MRLC</t>
  </si>
  <si>
    <t>https://www.usgs.gov/tools/estimated-annual-agricultural-pesticide-use</t>
  </si>
  <si>
    <t>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t>
  </si>
  <si>
    <t>Public interactive pesticide maps, annual county-level tab-delimited data files, state-level crop-group tables, USGS data releases, metadata, and methodological documentation; no registration required.</t>
  </si>
  <si>
    <t>Agricultural pesticide use; herbicides; insecticides; fungicides; crop chemicals; pesticide trends; agricultural chemical loading; surface-water contamination potential; groundwater contamination potential; rural environmental exposure</t>
  </si>
  <si>
    <t>Agricultural lands and populations living, working, obtaining water, or receiving services in areas where agricultural pesticides are estimated to be used</t>
  </si>
  <si>
    <t>County; agricultural land within county for mapped displays; state and crop group for selected summaries</t>
  </si>
  <si>
    <t>1992–2019 currently available; 2018–2019 estimates are preliminary. USGS states that final estimates for 2018–2022 are planned for publication in 2026, but I could not verify their release as of July 23, 2026.</t>
  </si>
  <si>
    <t>Planned annual preliminary estimates, with final estimates revised approximately every five years following release of the USDA Census of Agriculture; historical publication has been irregular.</t>
  </si>
  <si>
    <t>Pesticide compound name; year; state FIPS code; county FIPS code; low estimated use in kilograms; high estimated use in kilograms; state; county; crop or crop group in state-level files; mapped agricultural area; preliminary or final estimate status</t>
  </si>
  <si>
    <t>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t>
  </si>
  <si>
    <t>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t>
  </si>
  <si>
    <t>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t>
  </si>
  <si>
    <t>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t>
  </si>
  <si>
    <t>DS-092</t>
  </si>
  <si>
    <t>South Carolina Department of Environmental Services GIS Hub</t>
  </si>
  <si>
    <t>SCDES GIS Hub</t>
  </si>
  <si>
    <t>https://gis.des.sc.gov/SCDES_GIS_HUB/</t>
  </si>
  <si>
    <t>Statewide environmental GIS hub for discovering, viewing, analyzing, downloading, and accessing SCDES maps, dashboards, applications, datasets, APIs, and GIS services</t>
  </si>
  <si>
    <t>Public access without authentication for public datasets; downloads may include CSV, KML, ZIP, GeoJSON, GeoTIFF, and PNG, with GeoServices, WMS, and WFS links available for applicable layers.</t>
  </si>
  <si>
    <t>Environmental exposure; SDOH/geospatial; air quality; water quality; coastal resources; land and waste; permits; monitoring; regulatory facilities</t>
  </si>
  <si>
    <t>South Carolina environmental GIS, SCDES, air quality, water quality, coastal GIS, hazardous waste, landfills, mines, permits, monitoring stations, PFAS, dams, watersheds, ArcGIS</t>
  </si>
  <si>
    <t>Air, water, coastal management, land and waste management, environmental monitoring, regulated facilities, permits, contamination, watersheds and environmental hazards</t>
  </si>
  <si>
    <t>South Carolina environmental features, monitoring locations, regulated facilities, permitted sites, water bodies, coastal areas and communities</t>
  </si>
  <si>
    <t>Monitoring site, facility, permit location, water body, watershed, coastal feature, parcel, point, line, polygon or raster; varies by layer</t>
  </si>
  <si>
    <t>Varies by dataset and application; no unified date range</t>
  </si>
  <si>
    <t>Varies by layer and program</t>
  </si>
  <si>
    <t>Coordinates, facility or site name, permit identifiers, environmental-program category, monitoring location, watershed, water body, county, status, boundaries, pollutant or parameter attributes and application-specific measures</t>
  </si>
  <si>
    <t>Environmental-exposure linkage; proximity and buffer analysis; mapping regulated facilities; watershed and coastal analyses; environmental-justice research; identifying permits, monitoring sites and potential exposure sources</t>
  </si>
  <si>
    <t>EPA ECHO; EPA FRS; EPA TRI; Water Quality Portal; ATTAINS; How’s My Waterway; SCDNR GIS Open Data; Annual NLCD; FEMA National Risk Index; American Community Survey</t>
  </si>
  <si>
    <t>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t>
  </si>
  <si>
    <t>Public data generally do not require authentication, but service use may be logged. Review each layer’s metadata, attribution and terms; do not attempt to access nonpublic underlying systems or data.</t>
  </si>
  <si>
    <t>DS-093</t>
  </si>
  <si>
    <t>South Carolina Water Monitoring Portal</t>
  </si>
  <si>
    <t>USDA ERS</t>
  </si>
  <si>
    <t>https://www.scseagrant.org/sc-water-monitoring-portal/</t>
  </si>
  <si>
    <t>ArcGIS-based statewide application for visualizing, filtering and downloading South Carolina water-quality monitoring results</t>
  </si>
  <si>
    <t>Public interactive map with filters for water-quality category, sample date, submitting organization, county, watershed and sub-watershed; users may download selected data.</t>
  </si>
  <si>
    <t>Environmental exposure; water quality; surface water; monitoring sites; watersheds; bacteria; nutrients; impaired waters; TMDLs</t>
  </si>
  <si>
    <t>South Carolina water quality, water monitoring, SC Sea Grant, College of Charleston, Water Quality Portal, monitoring stations, bacteria, nutrients, county, HUC10, HUC12, watershed, impaired waters, TMDL</t>
  </si>
  <si>
    <t>Surface-water quality, monitoring locations, physical and chemical parameters, bacteria, nutrients, watershed conditions, impaired waters and TMDLs</t>
  </si>
  <si>
    <t>South Carolina water-quality monitoring sites, samples, water bodies and watersheds</t>
  </si>
  <si>
    <t>Monitoring site, sample location, county, watershed, sub-watershed and water body</t>
  </si>
  <si>
    <t>Varies by monitoring organization and parameter; no single unified date range stated</t>
  </si>
  <si>
    <t>Irregular; dependent on updates from the Water Quality Portal and contributing organizations</t>
  </si>
  <si>
    <t>Monitoring-site identifier, coordinates, collection date, submitting organization, county, watershed, parameter or characteristic name, result value, unit, sample medium and water-quality category</t>
  </si>
  <si>
    <t>Link water-quality measurements to communities or health outcomes; identify monitoring coverage; evaluate spatial and temporal water-quality trends; examine bacteria or nutrient measurements; support watershed and environmental-exposure studies</t>
  </si>
  <si>
    <t>National Water Quality Portal; SCDES GIS Hub; SCDES Watershed Atlas; ATTAINS; How’s My Waterway; WATERS; USGS stream gauges; Census TIGER/Line; American Community Survey</t>
  </si>
  <si>
    <t>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t>
  </si>
  <si>
    <t>Public environmental-monitoring data. Retain the submitting-organization identifier, site identifier, result qualifiers, units, analytical method and detection-limit fields. Use the original provider or national Water Quality Portal for reproducible extraction and source verification</t>
  </si>
  <si>
    <t>DS-094</t>
  </si>
  <si>
    <t>South Carolina Department of Natural Resources GIS Open Data</t>
  </si>
  <si>
    <t>SCDNR ArcGIS Online</t>
  </si>
  <si>
    <t>https://scdnr.maps.arcgis.com/home/</t>
  </si>
  <si>
    <t>Statewide GIS layers, web maps, applications and spatial services covering natural resources, geology, hydrology, wildlife, habitats, public lands, elevation and related environmental features</t>
  </si>
  <si>
    <t>Public ArcGIS Online content, web maps, map services and downloadable GIS products; availability and formats vary by layer, and some specialized products require a request</t>
  </si>
  <si>
    <t>Environmental exposure; SDOH/geospatial; hydrology; geology; wildlife; habitats; public lands; elevation</t>
  </si>
  <si>
    <t>South Carolina GIS, SCDNR, natural resources, wildlife, habitat, hydrology, geology, public lands, LiDAR, elevation, wetlands, coastal resources, ArcGIS</t>
  </si>
  <si>
    <t>Natural resources, land and water resources, biodiversity, coastal resources, geology, elevation, managed lands and environmental context</t>
  </si>
  <si>
    <t>South Carolina environment, natural resources, wildlife habitats, water resources, land areas and managed properties</t>
  </si>
  <si>
    <t>Statewide layers; county; watershed; parcel or managed-land tract; point, line, polygon, raster and site-specific features</t>
  </si>
  <si>
    <t>Varies substantially by layer and project; historical and current products are mixed</t>
  </si>
  <si>
    <t>Irregular/by layer</t>
  </si>
  <si>
    <t>Coordinates, boundaries, land ownership or management, habitat type, hydrography, elevation, geology, wells, protected lands, species or biological resources and layer-specific attributes</t>
  </si>
  <si>
    <t>Environmental exposure linkage; proximity and buffer analysis; rural and natural-resource context; watershed linkage; public-land access; habitat and coastal analyses; map development</t>
  </si>
  <si>
    <t>SCDES GIS Hub; EPA EnviroAtlas; Annual NLCD; PAD-US; WQP; FEMA National Risk Index; Census TIGER/Line; ACS</t>
  </si>
  <si>
    <t>Broad portal rather than one standardized dataset; metadata, dates, resolution, completeness and update schedules differ by layer; boundaries may not be legally authoritative; some older products remain available; specialized GIS software may be required</t>
  </si>
  <si>
    <t>Public data are generally provided as-is; review each layer’s metadata, use limitations, attribution requirements and positional-accuracy statements before analysis</t>
  </si>
  <si>
    <t>DS-095</t>
  </si>
  <si>
    <t>South Carolina DPH Data, Maps, Reports</t>
  </si>
  <si>
    <t>SC Sea Grant / College of Charleston</t>
  </si>
  <si>
    <t>Central portal for South Carolina public-health dashboards, surveillance reports, statistics, maps and topic-specific data products</t>
  </si>
  <si>
    <t>Public dashboards, reports, maps and downloadable summary tables; confidential or record-level health data are not generally distributed through the public portal</t>
  </si>
  <si>
    <t>Chronic disease; cancer; maternal/child health; mental health; substance use; HIV/infectious disease; environmental health; vital statistics</t>
  </si>
  <si>
    <t>South Carolina public health, SCDPH, health dashboard, county health, vital statistics, disease surveillance, HIV, AIDS, STD, mortality, births, environmental health</t>
  </si>
  <si>
    <t>Population health, disease surveillance, mortality, morbidity, maternal and child health, infectious disease, HIV/STIs, overdose, environmental health and health-care indicators</t>
  </si>
  <si>
    <t>South Carolina residents and topic-specific subpopulations represented in public-health surveillance systems</t>
  </si>
  <si>
    <t>State, county, health region and other topic-specific reporting geographies</t>
  </si>
  <si>
    <t>Varies by program; many reports and dashboards contain annual or multi-year trends, with some historical series extending several decades</t>
  </si>
  <si>
    <t>Varies by program: weekly, monthly, quarterly, annual or irregular</t>
  </si>
  <si>
    <t>Counts, rates, percentages, prevalence, incidence, mortality, demographics, age, sex, race/ethnicity, county, year, disease indicators, risk factors and health outcomes</t>
  </si>
  <si>
    <t>County health profiles; public-health needs assessment; disease-trend analysis; HIV and infectious-disease context; disparity analysis; surveillance summaries; grant and program planning</t>
  </si>
  <si>
    <t>CDC PLACES; CDC WONDER; CDC AtlasPlus; BRFSS; ACS; County Health Rankings; South Carolina Health Compass; SC Tracking; South Carolina vital-statistics reports</t>
  </si>
  <si>
    <t>Broad collection rather than one harmonized dataset; definitions, denominators, periods and update schedules differ by program; dashboards may suppress unstable or confidential estimates; some reports provide PDFs rather than analysis-ready files</t>
  </si>
  <si>
    <t>Public products are primarily aggregated or de-identified; small counts may be suppressed; access to identifiable surveillance, vital-record or patient-level data requires separate authorization and governance review</t>
  </si>
  <si>
    <t>DS-096</t>
  </si>
  <si>
    <t>SCDNR GIS Open Data</t>
  </si>
  <si>
    <t>https://data-scdnr.opendata.arcgis.com/</t>
  </si>
  <si>
    <t>Public GIS hub for discovering, viewing, downloading, and accessing South Carolina natural-resource and environmental spatial datasets</t>
  </si>
  <si>
    <t>Public ArcGIS Hub; downloadable formats include CSV, KML, ZIP, GeoJSON, GeoTIFF, and PNG; GeoServices, WMS, WFS, and other API links may be available by layer</t>
  </si>
  <si>
    <t>Environmental exposure; SDOH/geospatial; land cover; geology; hydrology; biodiversity; wildlife; coastal resources; public lands</t>
  </si>
  <si>
    <t>SCDNR, South Carolina GIS, natural resources, environmental GIS, geology, hydrology, wildlife, habitat, public lands, coastal resources, land cover, LiDAR, ArcGIS</t>
  </si>
  <si>
    <t>Natural resources, land cover, geology, elevation, hydrography, habitats, wildlife, fisheries, coastal resources, public lands and recreational access</t>
  </si>
  <si>
    <t>South Carolina lands, waters, natural resources, habitats, wildlife populations and managed properties</t>
  </si>
  <si>
    <t>Points, sites, lines, polygons, watersheds, counties, managed-land tracts and raster grid cells; varies by layer</t>
  </si>
  <si>
    <t>Varies by dataset; includes current and historical layers with no unified date range</t>
  </si>
  <si>
    <t>Irregular/by dataset</t>
  </si>
  <si>
    <t>Coordinates, feature boundaries, area, land-cover class, elevation, geology, hydrography, habitat type, species-related attributes, ownership or management status, facility or access-point characteristics</t>
  </si>
  <si>
    <t>Environmental and geographic linkage; proximity and buffer analysis; watershed context; habitat and biodiversity research; public-land and recreation access; rural and coastal analyses</t>
  </si>
  <si>
    <t>SCDES GIS Hub; Annual NLCD; PAD-US; Water Quality Portal; PRISM; gridMET; FEMA National Risk Index; Census TIGER/Line; American Community Survey</t>
  </si>
  <si>
    <t>Portal contains many independently produced layers; vintages, completeness, resolution, coordinate systems and update schedules differ; some layers are historical; mapped boundaries may not represent legal property boundaries</t>
  </si>
  <si>
    <t>Review each layer’s metadata, attribution, license and use constraints; retain source agency and dataset version; do not treat reference boundaries as legally authoritative</t>
  </si>
  <si>
    <t>DS-097</t>
  </si>
  <si>
    <t>Data, Maps, Reports</t>
  </si>
  <si>
    <t>https://dph.sc.gov/public/data-maps-reports</t>
  </si>
  <si>
    <t>Public landing page for interactive health applications, service-location maps, monitoring tools, assessments and other South Carolina public-health mapping products</t>
  </si>
  <si>
    <t>Public web applications and interactive maps; download, API and export functionality vary by individual application; no unified bulk download</t>
  </si>
  <si>
    <t>HIV/infectious disease; health care utilization/cost; SDOH/geospatial; cancer; environmental exposure; food/nutrition; provider locations</t>
  </si>
  <si>
    <t>South Carolina DPH, health maps, health applications, clinic locator, HIV clinic, STD clinic, hepatitis clinic, health facility, cancer map, rabies, mosquito disease, food desert, vaccine location</t>
  </si>
  <si>
    <t>Health-service access, clinic and facility locations, vaccination, cancer, HIV/STI/hepatitis services, mosquito-borne disease, rabies, food markets and food access</t>
  </si>
  <si>
    <t>South Carolina residents, health-service users, facilities, providers and populations represented in application-specific public-health data</t>
  </si>
  <si>
    <t>State, county, facility, clinic, provider location, service area and other application-specific geography</t>
  </si>
  <si>
    <t>Varies by application; no unified date range</t>
  </si>
  <si>
    <t>Varies by application</t>
  </si>
  <si>
    <t>Facility or clinic name, service type, address, coordinates, county, provider category, disease or monitoring indicator, counts, rates and application-specific geographic measures</t>
  </si>
  <si>
    <t>Locate HIV/STI/hepatitis clinics and other health services; map geographic access to care; identify facility locations; support community needs assessments; examine food access and selected public-health monitoring indicators</t>
  </si>
  <si>
    <t>SC DPH Public Health Data; SC DPH All Data Dashboards; SC Tracking; SC Health Compass; HIV, AIDS &amp; STDs Data and Reports; Census TIGER/Line; American Community Survey</t>
  </si>
  <si>
    <t>This is an application directory rather than one harmonized dataset; content, definitions, years, refresh schedules and export options differ by application; some tools are designed for service discovery rather than statistical analysis</t>
  </si>
  <si>
    <t>Public products generally contain aggregated, nonidentifiable or facility-location information; individual-level surveillance and clinical records require separate authorization; review each application’s privacy and suppression rules</t>
  </si>
  <si>
    <t>DS-098</t>
  </si>
  <si>
    <t>National Survey of Children's Health</t>
  </si>
  <si>
    <t>The Natonal Survey of Children's Health</t>
  </si>
  <si>
    <t>https://www.childhealthdata.org/learn-about-the-nsch/NSCH</t>
  </si>
  <si>
    <t>DS-099</t>
  </si>
  <si>
    <t>National Ambulatory Medical Care Survey</t>
  </si>
  <si>
    <t>National Ambulatory Medica Care Survey</t>
  </si>
  <si>
    <t>https://www.cdc.gov/nchs/namcs/about/index.html</t>
  </si>
  <si>
    <t>DS-100</t>
  </si>
  <si>
    <t>National Hospital Care Survey</t>
  </si>
  <si>
    <t>National Hospital Care Survey | NHCS | CDC</t>
  </si>
  <si>
    <t>DS-101</t>
  </si>
  <si>
    <t>National Notifiable Diseases Surveillance System</t>
  </si>
  <si>
    <t>National Notifiable Diseases Surveilance System (NNDSS)</t>
  </si>
  <si>
    <t>Site Index | National Notifiable Diseases Surveillance System (NNDSS) | CDC</t>
  </si>
  <si>
    <t>DS-102</t>
  </si>
  <si>
    <t>National Sleep Research Resource</t>
  </si>
  <si>
    <t>Sleep Data - National Sleep Research Resource - NSRR</t>
  </si>
  <si>
    <t>DS-103</t>
  </si>
  <si>
    <t>NIMH Data Archive</t>
  </si>
  <si>
    <t>NIMH Data Archive - NDA</t>
  </si>
  <si>
    <t>DS-104</t>
  </si>
  <si>
    <t>United States Renal Data System</t>
  </si>
  <si>
    <t>The United States Renal Data System (USRDS)</t>
  </si>
  <si>
    <t>United States Renal Data System - USRDS - NIDDK</t>
  </si>
  <si>
    <t>DS-105</t>
  </si>
  <si>
    <t>National Emergency Medical Services Information System</t>
  </si>
  <si>
    <t>NEMSIS</t>
  </si>
  <si>
    <t>Home - NEMSIS</t>
  </si>
  <si>
    <t>DS-106</t>
  </si>
  <si>
    <t>Health Information National Trends Survey</t>
  </si>
  <si>
    <t>HINTS</t>
  </si>
  <si>
    <t>Health Information National Trends Survey | HINTS</t>
  </si>
  <si>
    <t>Nationally representative data about the American public's knowledge of, attitudes toward, and use of cancer- and health-related information</t>
  </si>
  <si>
    <t>MACS/WIHS Combined Cohort Study (MWCCS)</t>
  </si>
  <si>
    <t>https://statepi.jhsph.edu/mwccs/</t>
  </si>
  <si>
    <t>Longitudinal U.S. cohort of adults with and without HIV, containing data on HIV status and treatment, chronic conditions, laboratory measures, behaviors, mental health, and aging. Supports research on HIV, comorbidities, health disparities, and long-term health outcomes.</t>
  </si>
  <si>
    <t>chronic disease; aging; cancer; mental health; substance use; EHR/clinical; genomics/molecular; clinical trials; food/nutrition; health care utilization/cost; SDOH/geospatial</t>
  </si>
  <si>
    <t>HIV; human immunodeficiency virus; AIDS; PLWH; people living with HIV; MACS; Multicenter AIDS Cohort Study; WIHS; Women's Interagency HIV Study; MWCCS; MACS/WIHS Combined Cohort Study; longitudinal; observational; HIV treatment; antiretroviral therapy; ART; CD4; chronic disease; aging</t>
  </si>
  <si>
    <t>HIV/AIDS; cardiovascular disease; metabolic disease; kidney disease; cancer; mental health; substance use; aging; reproductive health</t>
  </si>
  <si>
    <t>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t>
  </si>
  <si>
    <t>1984-present (MACS); 1994-present (WIHS); combined as MWCCS beginning in 2019</t>
  </si>
  <si>
    <t>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t>
  </si>
  <si>
    <t>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t>
  </si>
  <si>
    <t>All of Us Research Program; National Health and Nutrition Examination Survey (NHANES); National HIV Surveillance System; Medical Monitoring Project (MMP); National Vital Statistics System (NVSS); CDC Behavioral Risk Factor Surveillance System (BRFSS); HCUP</t>
  </si>
  <si>
    <t>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t>
  </si>
  <si>
    <t>Public use data set is available through an access request process, while confidential/restricted data require an approved research request and are subject to participant privacy protections and data-use requirements.</t>
  </si>
  <si>
    <t>macs/wihs combined cohort study (mwccs) macs/wihs combined cohort study (mwccs) longitudinal u.s. cohort of adults with and without hiv, containing data on hiv status and treatment, chronic conditions, laboratory measures, behaviors, mental health, and aging. supports research on hiv, comorbidities, health disparities, and long-term health outcomes. public-use plus restricted files public-use plus restricted files hiv/infectious disease chronic disease; aging; cancer; mental health; substance use; ehr/clinical; genomics/molecular; clinical trials; food/nutrition; health care utilization/cost; sdoh/geospatial hiv; human immunodeficiency virus; aids; plwh; people living with hiv; macs; multicenter aids cohort study; wihs; women's interagency hiv study; mwccs; macs/wihs combined cohort study; longitudinal; observational; hiv treatment; antiretroviral therapy; art; cd4; chronic disease; aging cohort/longitudinal hiv/aids; cardiovascular disease; metabolic disease; kidney disease; cancer; mental health; substance use; aging; reproductive health macs was a study of gay and bisexual men, while wihs was a study of women who had other risk factors for hiv. the mwccs integrates these two longstanding, longitudinal studies and will continue follow-up of the current participants enrolled at 13 macs/wihs clinical research sites (crs) in addition to recruiting new participants with characteristics that reflect the u.s. population living with hiv or at risk for hiv. united states other individual medium demographics; hiv status; hiv viral load; cd4 t-cell count; antiretroviral therapy; hiv treatment history; hiv disease progression; aids diagnoses; comorbidities; cardiovascular disease; hypertension; diabetes; obesity; kidney disease; pulmonary disease; sleep disorders; cancer; mental health; depressive symptoms; substance use; alcohol use; tobacco use; medication use; reproductive health; sexual behavior; socioeconomic factors; health behaviors; physical functioning; laboratory measures; biomarkers; mortality; clinical outcomes; biological specimens; serum; plasma hiv treatment and outcomes research; hiv disease progression; mortality; chronic disease; cardiovascular disease  and hiv; kidney disease and hiv; aging and hiv; mental health and hiv; substance use and hiv; health disparities; reproductive health; longitudinal risk-factor studies; biomarker and laboratory studies; epidemiology and disease outcomes; observational cohort studies all of us research program; national health and nutrition examination survey (nhanes); national hiv surveillance system; medical monitoring project (mmp); national vital statistics system (nvss); cdc behavioral risk factor surveillance system (brfss); hcup historical macs and wihs cohorts have different recruitment histories and participant characteristics, which may affect analyses. some variables and participant-level information are restricted due to privacy and data-use requirements. confirm the applicable public use data set vs. controlled/confidential data access requirements and check availability of variables of interest. public use data set is available through an access request process, while confidential/restricted data require an approved research request and are subject to participant privacy protections and data-use requirements.</t>
  </si>
  <si>
    <t>DS-107</t>
  </si>
  <si>
    <t>https://www.epa.gov/superfund/superfund-data-and-reports</t>
  </si>
  <si>
    <t>https://www.epa.gov/AirToxScreen</t>
  </si>
  <si>
    <t>https://www.epa.gov/aqs</t>
  </si>
  <si>
    <t>https://www.epa.gov/outdoor-air-quality-data</t>
  </si>
  <si>
    <t>https://ephtracking.cdc.gov/Applications/heatTracker/</t>
  </si>
  <si>
    <t>https://wonder.cdc.gov</t>
  </si>
  <si>
    <t>https://data.cdc.gov/Environmental-Health-Toxicology/Daily-Census-Tract-Level-PM2-5-Concentrations-2016/96sd-hxdt/about_data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</si>
</sst>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1"/>
      <color rgb="FFFFFFFF"/>
      <name val="Carlito"/>
    </font>
    <font>
      <u/>
      <sz val="11"/>
      <color theme="10"/>
      <name val="Carlito"/>
    </font>
    <font>
      <sz val="11"/>
      <color rgb="FF000000"/>
      <name val="Carlito"/>
    </font>
    <font>
      <sz val="11"/>
      <color rgb="FF9C0006"/>
      <name val="Calibri"/>
      <family val="2"/>
      <scheme val="minor"/>
    </font>
  </fonts>
  <fills count="5">
    <fill>
      <patternFill patternType="none"/>
    </fill>
    <fill>
      <patternFill patternType="gray125"/>
    </fill>
    <fill>
      <patternFill patternType="solid">
        <fgColor rgb="FF2F75B5"/>
      </patternFill>
    </fill>
    <fill>
      <patternFill patternType="solid">
        <fgColor rgb="FFC0E6F5"/>
        <bgColor rgb="FFC0E6F5"/>
      </patternFill>
    </fill>
    <fill>
      <patternFill patternType="solid">
        <fgColor rgb="FFFFC7CE"/>
      </patternFill>
    </fill>
  </fills>
  <borders count="1">
    <border>
      <left/>
      <right/>
      <top/>
      <bottom/>
      <diagonal/>
    </border>
  </borders>
  <cellStyleXfs count="3">
    <xf numFmtId="0" fontId="0" fillId="0" borderId="0"/>
    <xf numFmtId="0" fontId="2" fillId="0" borderId="0"/>
    <xf numFmtId="0" fontId="4" fillId="4" borderId="0"/>
  </cellStyleXfs>
  <cellXfs count="15">
    <xf numFmtId="0" fontId="0" fillId="0" borderId="0" xfId="0"/>
    <xf numFmtId="0" fontId="0" fillId="0" borderId="0" xfId="0" applyAlignment="1">
      <alignment vertical="top" wrapText="1"/>
    </xf>
    <xf numFmtId="0" fontId="1" fillId="2" borderId="0" xfId="0" applyFont="1" applyFill="1" applyAlignment="1">
      <alignment horizontal="center" vertical="top" wrapText="1"/>
    </xf>
    <xf numFmtId="0" fontId="0" fillId="0" borderId="0" xfId="0" applyAlignment="1">
      <alignment vertical="top"/>
    </xf>
    <xf numFmtId="0" fontId="2"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0" fillId="0" borderId="0" xfId="0" applyAlignment="1">
      <alignment horizontal="left" vertical="top" wrapText="1"/>
    </xf>
    <xf numFmtId="0" fontId="3" fillId="3" borderId="0" xfId="0" applyFont="1" applyFill="1" applyAlignment="1">
      <alignment vertical="top" wrapText="1"/>
    </xf>
    <xf numFmtId="0" fontId="3" fillId="0" borderId="0" xfId="0" applyFont="1" applyAlignment="1">
      <alignment vertical="top" wrapText="1"/>
    </xf>
    <xf numFmtId="14" fontId="0" fillId="0" borderId="0" xfId="0" applyNumberFormat="1" applyAlignment="1">
      <alignment vertical="top"/>
    </xf>
    <xf numFmtId="0" fontId="4" fillId="4" borderId="0" xfId="2" applyAlignment="1">
      <alignment vertical="top"/>
    </xf>
    <xf numFmtId="0" fontId="0" fillId="0" borderId="0" xfId="0" applyAlignment="1">
      <alignment wrapText="1"/>
    </xf>
    <xf numFmtId="0" fontId="2" fillId="0" borderId="0" xfId="1" applyAlignment="1">
      <alignment wrapText="1"/>
    </xf>
    <xf numFmtId="0" fontId="2" fillId="0" borderId="0" xfId="1"/>
  </cellXfs>
  <cellStyles count="3">
    <cellStyle name="Bad" xfId="2" builtinId="27"/>
    <cellStyle name="Hyperlink" xfId="1" builtinId="8"/>
    <cellStyle name="Normal" xfId="0" builtinId="0"/>
  </cellStyles>
  <dxfs count="4">
    <dxf>
      <alignment wrapText="1"/>
    </dxf>
    <dxf>
      <alignment vertical="top"/>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alcChain" Target="calcChain.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107">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dataDxfId="3"/>
    <tableColumn id="5" xr3:uid="{00000000-0010-0000-0000-000005000000}" name="Main Data Type / Use" dataDxfId="2"/>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1"/>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dataDxfId="0"/>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www.samhsa.gov/data/data-we-collect/mh-cld-mental-health-client-level-data/datafiles" TargetMode="External"/><Relationship Id="rId21" Type="http://schemas.openxmlformats.org/officeDocument/2006/relationships/hyperlink" Target="https://data.cms.gov/" TargetMode="External"/><Relationship Id="rId42" Type="http://schemas.openxmlformats.org/officeDocument/2006/relationships/hyperlink" Target="https://data.worldbank.org/" TargetMode="External"/><Relationship Id="rId47" Type="http://schemas.openxmlformats.org/officeDocument/2006/relationships/hyperlink" Target="https://www.epa.gov/toxics-release-inventory-tri-program" TargetMode="External"/><Relationship Id="rId63" Type="http://schemas.openxmlformats.org/officeDocument/2006/relationships/hyperlink" Target="https://www.mrlc.gov/data/project/annual-nlcd" TargetMode="External"/><Relationship Id="rId68" Type="http://schemas.openxmlformats.org/officeDocument/2006/relationships/hyperlink" Target="https://scdnr.maps.arcgis.com/home/" TargetMode="External"/><Relationship Id="rId84" Type="http://schemas.openxmlformats.org/officeDocument/2006/relationships/hyperlink" Target="https://www.epa.gov/AirToxScreen" TargetMode="External"/><Relationship Id="rId89" Type="http://schemas.openxmlformats.org/officeDocument/2006/relationships/table" Target="../tables/table1.xml"/><Relationship Id="rId16" Type="http://schemas.openxmlformats.org/officeDocument/2006/relationships/hyperlink" Target="https://www.countyhealthrankings.org/health-data" TargetMode="External"/><Relationship Id="rId11" Type="http://schemas.openxmlformats.org/officeDocument/2006/relationships/hyperlink" Target="https://www.cdc.gov/nchs/nhis/index.html"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53" Type="http://schemas.openxmlformats.org/officeDocument/2006/relationships/hyperlink" Target="https://www.waterqualitydata.us/" TargetMode="External"/><Relationship Id="rId58" Type="http://schemas.openxmlformats.org/officeDocument/2006/relationships/hyperlink" Target="https://arc.ncics.org/nclimgrid-overview/" TargetMode="External"/><Relationship Id="rId74" Type="http://schemas.openxmlformats.org/officeDocument/2006/relationships/hyperlink" Target="https://www.cdc.gov/nchs/nhcs/index.html" TargetMode="External"/><Relationship Id="rId79" Type="http://schemas.openxmlformats.org/officeDocument/2006/relationships/hyperlink" Target="https://nemsis.org/" TargetMode="External"/><Relationship Id="rId5" Type="http://schemas.openxmlformats.org/officeDocument/2006/relationships/hyperlink" Target="https://biolincc.nhlbi.nih.gov/home/"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48" Type="http://schemas.openxmlformats.org/officeDocument/2006/relationships/hyperlink" Target="https://www.epa.gov/rsei" TargetMode="External"/><Relationship Id="rId56" Type="http://schemas.openxmlformats.org/officeDocument/2006/relationships/hyperlink" Target="https://waterdata.usgs.gov/" TargetMode="External"/><Relationship Id="rId64" Type="http://schemas.openxmlformats.org/officeDocument/2006/relationships/hyperlink" Target="https://www.usgs.gov/programs/gap-analysis-project/science/pad-us-data-overview" TargetMode="External"/><Relationship Id="rId69" Type="http://schemas.openxmlformats.org/officeDocument/2006/relationships/hyperlink" Target="https://dph.sc.gov/professionals/public-health-data" TargetMode="External"/><Relationship Id="rId77" Type="http://schemas.openxmlformats.org/officeDocument/2006/relationships/hyperlink" Target="https://nda.nih.gov/" TargetMode="External"/><Relationship Id="rId8" Type="http://schemas.openxmlformats.org/officeDocument/2006/relationships/hyperlink" Target="https://addhealth.cpc.unc.edu/" TargetMode="External"/><Relationship Id="rId51" Type="http://schemas.openxmlformats.org/officeDocument/2006/relationships/hyperlink" Target="https://epa.maps.arcgis.com/home/item.html?id=e5f95175f9184d508be636377796f1c2" TargetMode="External"/><Relationship Id="rId72" Type="http://schemas.openxmlformats.org/officeDocument/2006/relationships/hyperlink" Target="https://www.childhealthdata.org/learn-about-the-nsch/NSCH" TargetMode="External"/><Relationship Id="rId80" Type="http://schemas.openxmlformats.org/officeDocument/2006/relationships/hyperlink" Target="https://hints.cancer.gov/" TargetMode="External"/><Relationship Id="rId85" Type="http://schemas.openxmlformats.org/officeDocument/2006/relationships/hyperlink" Target="https://www.epa.gov/enviroatlas" TargetMode="Externa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 Id="rId46" Type="http://schemas.openxmlformats.org/officeDocument/2006/relationships/hyperlink" Target="https://www.epa.gov/air-emissions-inventories/national-emissions-inventory-nei" TargetMode="External"/><Relationship Id="rId59" Type="http://schemas.openxmlformats.org/officeDocument/2006/relationships/hyperlink" Target="https://prism.oregonstate.edu/https:/prism.oregonstate.edu/" TargetMode="External"/><Relationship Id="rId67" Type="http://schemas.openxmlformats.org/officeDocument/2006/relationships/hyperlink" Target="https://www.scseagrant.org/sc-water-monitoring-portal/" TargetMode="External"/><Relationship Id="rId20" Type="http://schemas.openxmlformats.org/officeDocument/2006/relationships/hyperlink" Target="https://hcup-us.ahrq.gov/" TargetMode="External"/><Relationship Id="rId41" Type="http://schemas.openxmlformats.org/officeDocument/2006/relationships/hyperlink" Target="https://www.who.int/data/gho" TargetMode="External"/><Relationship Id="rId54" Type="http://schemas.openxmlformats.org/officeDocument/2006/relationships/hyperlink" Target="https://www.epa.gov/waterdata/attains" TargetMode="External"/><Relationship Id="rId62" Type="http://schemas.openxmlformats.org/officeDocument/2006/relationships/hyperlink" Target="https://www.fema.gov/flood-maps/products-tools/national-risk-index" TargetMode="External"/><Relationship Id="rId70" Type="http://schemas.openxmlformats.org/officeDocument/2006/relationships/hyperlink" Target="https://data-scdnr.opendata.arcgis.com/" TargetMode="External"/><Relationship Id="rId75" Type="http://schemas.openxmlformats.org/officeDocument/2006/relationships/hyperlink" Target="https://www.cdc.gov/nndss/site.html" TargetMode="External"/><Relationship Id="rId83" Type="http://schemas.openxmlformats.org/officeDocument/2006/relationships/hyperlink" Target="https://www.epa.gov/aqs" TargetMode="External"/><Relationship Id="rId88" Type="http://schemas.openxmlformats.org/officeDocument/2006/relationships/hyperlink" Target="https://data.cdc.gov/Environmental-Health-Toxicology/Daily-Census-Tract-Level-PM2-5-Concentrations-2016/96sd-hxdt/about_data"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49" Type="http://schemas.openxmlformats.org/officeDocument/2006/relationships/hyperlink" Target="https://echo.epa.gov/" TargetMode="External"/><Relationship Id="rId57" Type="http://schemas.openxmlformats.org/officeDocument/2006/relationships/hyperlink" Target="https://www.ncei.noaa.gov/cdo-web/" TargetMode="External"/><Relationship Id="rId10" Type="http://schemas.openxmlformats.org/officeDocument/2006/relationships/hyperlink" Target="https://wwwn.cdc.gov/nchs/nhanes/Default.aspx" TargetMode="External"/><Relationship Id="rId31" Type="http://schemas.openxmlformats.org/officeDocument/2006/relationships/hyperlink" Target="https://www.cancerimagingarchive.net/" TargetMode="External"/><Relationship Id="rId44" Type="http://schemas.openxmlformats.org/officeDocument/2006/relationships/hyperlink" Target="https://www.epa.gov/enviroatlas" TargetMode="External"/><Relationship Id="rId52" Type="http://schemas.openxmlformats.org/officeDocument/2006/relationships/hyperlink" Target="https://map22.epa.gov/cimc/brownfields" TargetMode="External"/><Relationship Id="rId60" Type="http://schemas.openxmlformats.org/officeDocument/2006/relationships/hyperlink" Target="https://www.climatologylab.org/gridmet.html" TargetMode="External"/><Relationship Id="rId65" Type="http://schemas.openxmlformats.org/officeDocument/2006/relationships/hyperlink" Target="https://www.usgs.gov/tools/estimated-annual-agricultural-pesticide-use" TargetMode="External"/><Relationship Id="rId73" Type="http://schemas.openxmlformats.org/officeDocument/2006/relationships/hyperlink" Target="https://www.cdc.gov/nchs/namcs/about/index.html" TargetMode="External"/><Relationship Id="rId78" Type="http://schemas.openxmlformats.org/officeDocument/2006/relationships/hyperlink" Target="https://www.niddk.nih.gov/about-niddk/strategic-plans-reports/usrds" TargetMode="External"/><Relationship Id="rId81" Type="http://schemas.openxmlformats.org/officeDocument/2006/relationships/hyperlink" Target="https://www.epa.gov/superfund/superfund-data-and-reports" TargetMode="External"/><Relationship Id="rId86" Type="http://schemas.openxmlformats.org/officeDocument/2006/relationships/hyperlink" Target="https://ephtracking.cdc.gov/Applications/heatTracker/" TargetMode="Externa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39" Type="http://schemas.openxmlformats.org/officeDocument/2006/relationships/hyperlink" Target="https://www.ers.usda.gov/data-products/food-environment-atlas" TargetMode="External"/><Relationship Id="rId34" Type="http://schemas.openxmlformats.org/officeDocument/2006/relationships/hyperlink" Target="https://physionet.org/" TargetMode="External"/><Relationship Id="rId50" Type="http://schemas.openxmlformats.org/officeDocument/2006/relationships/hyperlink" Target="https://www.epa.gov/frs" TargetMode="External"/><Relationship Id="rId55" Type="http://schemas.openxmlformats.org/officeDocument/2006/relationships/hyperlink" Target="https://www.epa.gov/waterdata/waters-geospatial-data-downloads" TargetMode="External"/><Relationship Id="rId76" Type="http://schemas.openxmlformats.org/officeDocument/2006/relationships/hyperlink" Target="https://sleepdata.org/" TargetMode="External"/><Relationship Id="rId7" Type="http://schemas.openxmlformats.org/officeDocument/2006/relationships/hyperlink" Target="https://hrs.isr.umich.edu/" TargetMode="External"/><Relationship Id="rId71" Type="http://schemas.openxmlformats.org/officeDocument/2006/relationships/hyperlink" Target="https://dph.sc.gov/public/data-maps-reports" TargetMode="External"/><Relationship Id="rId2" Type="http://schemas.openxmlformats.org/officeDocument/2006/relationships/hyperlink" Target="https://www.researchallofus.org/data-tools/workbench/" TargetMode="External"/><Relationship Id="rId29" Type="http://schemas.openxmlformats.org/officeDocument/2006/relationships/hyperlink" Target="https://aidsvu.org/" TargetMode="External"/><Relationship Id="rId24" Type="http://schemas.openxmlformats.org/officeDocument/2006/relationships/hyperlink" Target="https://www.samhsa.gov/data/data-we-collect/nsduh-national-survey-drug-use-and-health" TargetMode="External"/><Relationship Id="rId40" Type="http://schemas.openxmlformats.org/officeDocument/2006/relationships/hyperlink" Target="https://www.ers.usda.gov/data-products/rural-urban-continuum-codes" TargetMode="External"/><Relationship Id="rId45" Type="http://schemas.openxmlformats.org/officeDocument/2006/relationships/hyperlink" Target="https://www.atsdr.cdc.gov/place-health/php/eji/index.html" TargetMode="External"/><Relationship Id="rId66" Type="http://schemas.openxmlformats.org/officeDocument/2006/relationships/hyperlink" Target="https://gis.des.sc.gov/SCDES_GIS_HUB/" TargetMode="External"/><Relationship Id="rId87" Type="http://schemas.openxmlformats.org/officeDocument/2006/relationships/hyperlink" Target="https://wonder.cdc.gov/" TargetMode="External"/><Relationship Id="rId61" Type="http://schemas.openxmlformats.org/officeDocument/2006/relationships/hyperlink" Target="https://www.ncei.noaa.gov/stormevents/" TargetMode="External"/><Relationship Id="rId82" Type="http://schemas.openxmlformats.org/officeDocument/2006/relationships/hyperlink" Target="https://mywaterway.epa.gov/" TargetMode="External"/><Relationship Id="rId19" Type="http://schemas.openxmlformats.org/officeDocument/2006/relationships/hyperlink" Target="https://meps.ahrq.gov/mepsweb/data_stats/download_data_files.jsp"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J209"/>
  <sheetViews>
    <sheetView tabSelected="1" workbookViewId="0">
      <pane ySplit="1" topLeftCell="A58" activePane="bottomLeft" state="frozen"/>
      <selection pane="bottomLeft" activeCell="C62" sqref="C62"/>
    </sheetView>
  </sheetViews>
  <sheetFormatPr baseColWidth="10" defaultColWidth="8.83203125" defaultRowHeight="14"/>
  <cols>
    <col min="1" max="1" width="10" customWidth="1"/>
    <col min="2" max="2" width="28" customWidth="1"/>
    <col min="3" max="3" width="29.5" customWidth="1"/>
    <col min="4" max="4" width="45" style="12" customWidth="1"/>
    <col min="5" max="5" width="50" style="12"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3" customWidth="1"/>
    <col min="17" max="17" width="18" customWidth="1"/>
    <col min="18" max="18" width="16" customWidth="1"/>
    <col min="19" max="20" width="15" customWidth="1"/>
    <col min="21" max="21" width="26.83203125" style="12" customWidth="1"/>
    <col min="22"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0" customHeight="1">
      <c r="A1" s="2"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c r="AI1" s="2" t="s">
        <v>34</v>
      </c>
      <c r="AJ1" s="2" t="s">
        <v>35</v>
      </c>
    </row>
    <row r="2" spans="1:36" ht="114" customHeight="1">
      <c r="A2" s="1" t="s">
        <v>36</v>
      </c>
      <c r="B2" s="1" t="s">
        <v>37</v>
      </c>
      <c r="C2" s="1" t="s">
        <v>38</v>
      </c>
      <c r="D2" s="4" t="s">
        <v>39</v>
      </c>
      <c r="E2" s="1" t="s">
        <v>40</v>
      </c>
      <c r="F2" s="1" t="s">
        <v>41</v>
      </c>
      <c r="G2" s="1" t="s">
        <v>41</v>
      </c>
      <c r="H2" s="1" t="s">
        <v>42</v>
      </c>
      <c r="I2" s="1" t="s">
        <v>43</v>
      </c>
      <c r="J2" s="1" t="s">
        <v>44</v>
      </c>
      <c r="K2" s="1" t="s">
        <v>45</v>
      </c>
      <c r="L2" s="1" t="s">
        <v>43</v>
      </c>
      <c r="M2" s="1" t="s">
        <v>46</v>
      </c>
      <c r="N2" s="1" t="s">
        <v>47</v>
      </c>
      <c r="O2" s="1" t="s">
        <v>48</v>
      </c>
      <c r="P2" s="1" t="s">
        <v>49</v>
      </c>
      <c r="Q2" s="1" t="s">
        <v>50</v>
      </c>
      <c r="R2" s="1" t="s">
        <v>51</v>
      </c>
      <c r="S2" s="1" t="s">
        <v>52</v>
      </c>
      <c r="T2" s="1" t="s">
        <v>51</v>
      </c>
      <c r="U2" s="1" t="s">
        <v>53</v>
      </c>
      <c r="V2" s="1" t="s">
        <v>54</v>
      </c>
      <c r="W2" s="1" t="s">
        <v>42</v>
      </c>
      <c r="X2" s="1" t="s">
        <v>42</v>
      </c>
      <c r="Y2" s="1" t="s">
        <v>55</v>
      </c>
      <c r="Z2" s="1" t="s">
        <v>56</v>
      </c>
      <c r="AA2" s="1" t="s">
        <v>57</v>
      </c>
      <c r="AB2" s="1" t="s">
        <v>58</v>
      </c>
      <c r="AC2" s="1" t="s">
        <v>59</v>
      </c>
      <c r="AD2" s="1"/>
      <c r="AE2" s="1" t="s">
        <v>60</v>
      </c>
      <c r="AF2" s="5">
        <v>46184</v>
      </c>
      <c r="AG2" s="1" t="s">
        <v>61</v>
      </c>
      <c r="AH2" s="1" t="s">
        <v>62</v>
      </c>
      <c r="AI2" s="1" t="s">
        <v>63</v>
      </c>
      <c r="AJ2" s="1"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1" t="s">
        <v>64</v>
      </c>
      <c r="B3" s="1" t="s">
        <v>65</v>
      </c>
      <c r="C3" s="1" t="s">
        <v>66</v>
      </c>
      <c r="D3" s="4" t="s">
        <v>67</v>
      </c>
      <c r="E3" s="1" t="s">
        <v>68</v>
      </c>
      <c r="F3" s="1" t="s">
        <v>69</v>
      </c>
      <c r="G3" s="1" t="s">
        <v>69</v>
      </c>
      <c r="H3" s="1" t="s">
        <v>42</v>
      </c>
      <c r="I3" s="1" t="s">
        <v>43</v>
      </c>
      <c r="J3" s="1" t="s">
        <v>70</v>
      </c>
      <c r="K3" s="1" t="s">
        <v>71</v>
      </c>
      <c r="L3" s="1" t="s">
        <v>72</v>
      </c>
      <c r="M3" s="1" t="s">
        <v>73</v>
      </c>
      <c r="N3" s="1" t="s">
        <v>74</v>
      </c>
      <c r="O3" s="1" t="s">
        <v>48</v>
      </c>
      <c r="P3" s="1" t="s">
        <v>49</v>
      </c>
      <c r="Q3" s="1" t="s">
        <v>75</v>
      </c>
      <c r="R3" s="1" t="s">
        <v>51</v>
      </c>
      <c r="S3" s="1" t="s">
        <v>52</v>
      </c>
      <c r="T3" s="1" t="s">
        <v>51</v>
      </c>
      <c r="U3" s="1" t="s">
        <v>76</v>
      </c>
      <c r="V3" s="1" t="s">
        <v>54</v>
      </c>
      <c r="W3" s="1" t="s">
        <v>42</v>
      </c>
      <c r="X3" s="1" t="s">
        <v>42</v>
      </c>
      <c r="Y3" s="1" t="s">
        <v>77</v>
      </c>
      <c r="Z3" s="1" t="s">
        <v>78</v>
      </c>
      <c r="AA3" s="1" t="s">
        <v>79</v>
      </c>
      <c r="AB3" s="1" t="s">
        <v>80</v>
      </c>
      <c r="AC3" s="1" t="s">
        <v>81</v>
      </c>
      <c r="AD3" s="1"/>
      <c r="AE3" s="1" t="s">
        <v>60</v>
      </c>
      <c r="AF3" s="5">
        <v>46245</v>
      </c>
      <c r="AG3" s="1" t="s">
        <v>82</v>
      </c>
      <c r="AH3" s="1" t="s">
        <v>62</v>
      </c>
      <c r="AI3" s="1" t="s">
        <v>63</v>
      </c>
      <c r="AJ3" s="1"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natural language processing; transcriptomics; all of us ehr; clinical, electronic health record; genomics; survey; mobile device data; physical measurements; health care utilization/cost; rna sequencing; natural language processing; nlp; transcriptomics; proteomics; multiomics; clinical notes data;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ehr-derived variables; mortality; claims; mobility; lifestyle; physical activity; sleep;  genotyping; biomarkers; whole genome sequencing; nutrition; environmental exposures; minute-level metrics; device provenance; gene expression (rna-seq); proteomics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1" t="s">
        <v>83</v>
      </c>
      <c r="B4" s="1" t="s">
        <v>84</v>
      </c>
      <c r="C4" s="1" t="s">
        <v>85</v>
      </c>
      <c r="D4" s="4" t="s">
        <v>86</v>
      </c>
      <c r="E4" s="1" t="s">
        <v>87</v>
      </c>
      <c r="F4" s="1" t="s">
        <v>88</v>
      </c>
      <c r="G4" s="1" t="s">
        <v>88</v>
      </c>
      <c r="H4" s="1" t="s">
        <v>62</v>
      </c>
      <c r="I4" s="1" t="s">
        <v>89</v>
      </c>
      <c r="J4" s="1" t="s">
        <v>90</v>
      </c>
      <c r="K4" s="1" t="s">
        <v>91</v>
      </c>
      <c r="L4" s="1" t="s">
        <v>92</v>
      </c>
      <c r="M4" s="1" t="s">
        <v>89</v>
      </c>
      <c r="N4" s="1" t="s">
        <v>93</v>
      </c>
      <c r="O4" s="1" t="s">
        <v>48</v>
      </c>
      <c r="P4" s="1" t="s">
        <v>49</v>
      </c>
      <c r="Q4" s="1" t="s">
        <v>50</v>
      </c>
      <c r="R4" s="1" t="s">
        <v>52</v>
      </c>
      <c r="S4" s="1" t="s">
        <v>51</v>
      </c>
      <c r="T4" s="1" t="s">
        <v>51</v>
      </c>
      <c r="U4" s="1" t="s">
        <v>94</v>
      </c>
      <c r="V4" s="1" t="s">
        <v>95</v>
      </c>
      <c r="W4" s="1" t="s">
        <v>62</v>
      </c>
      <c r="X4" s="1" t="s">
        <v>62</v>
      </c>
      <c r="Y4" s="1" t="s">
        <v>96</v>
      </c>
      <c r="Z4" s="1" t="s">
        <v>97</v>
      </c>
      <c r="AA4" s="1" t="s">
        <v>98</v>
      </c>
      <c r="AB4" s="1" t="s">
        <v>99</v>
      </c>
      <c r="AC4" s="1" t="s">
        <v>100</v>
      </c>
      <c r="AD4" s="1"/>
      <c r="AE4" s="1" t="s">
        <v>60</v>
      </c>
      <c r="AF4" s="5">
        <v>46184</v>
      </c>
      <c r="AG4" s="1" t="s">
        <v>61</v>
      </c>
      <c r="AH4" s="1" t="s">
        <v>62</v>
      </c>
      <c r="AI4" s="1" t="s">
        <v>63</v>
      </c>
      <c r="AJ4" s="1"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1" t="s">
        <v>101</v>
      </c>
      <c r="B5" s="1" t="s">
        <v>102</v>
      </c>
      <c r="C5" s="1" t="s">
        <v>103</v>
      </c>
      <c r="D5" s="4" t="s">
        <v>104</v>
      </c>
      <c r="E5" s="1" t="s">
        <v>105</v>
      </c>
      <c r="F5" s="1" t="s">
        <v>41</v>
      </c>
      <c r="G5" s="1" t="s">
        <v>41</v>
      </c>
      <c r="H5" s="1" t="s">
        <v>42</v>
      </c>
      <c r="I5" s="1" t="s">
        <v>106</v>
      </c>
      <c r="J5" s="1" t="s">
        <v>107</v>
      </c>
      <c r="K5" s="3" t="s">
        <v>108</v>
      </c>
      <c r="L5" s="3" t="s">
        <v>72</v>
      </c>
      <c r="M5" s="1" t="s">
        <v>109</v>
      </c>
      <c r="N5" s="6" t="s">
        <v>110</v>
      </c>
      <c r="O5" s="1" t="s">
        <v>48</v>
      </c>
      <c r="P5" s="1" t="s">
        <v>49</v>
      </c>
      <c r="Q5" s="1" t="s">
        <v>75</v>
      </c>
      <c r="R5" s="1" t="s">
        <v>51</v>
      </c>
      <c r="S5" s="1" t="s">
        <v>52</v>
      </c>
      <c r="T5" s="1" t="s">
        <v>51</v>
      </c>
      <c r="U5" s="1" t="s">
        <v>111</v>
      </c>
      <c r="V5" s="1" t="s">
        <v>54</v>
      </c>
      <c r="W5" s="1" t="s">
        <v>42</v>
      </c>
      <c r="X5" s="1" t="s">
        <v>62</v>
      </c>
      <c r="Y5" s="1" t="s">
        <v>112</v>
      </c>
      <c r="Z5" s="1" t="s">
        <v>113</v>
      </c>
      <c r="AA5" s="1" t="s">
        <v>114</v>
      </c>
      <c r="AB5" s="1" t="s">
        <v>115</v>
      </c>
      <c r="AC5" s="1" t="s">
        <v>116</v>
      </c>
      <c r="AD5" s="1"/>
      <c r="AE5" s="1" t="s">
        <v>60</v>
      </c>
      <c r="AF5" s="5">
        <v>46184</v>
      </c>
      <c r="AG5" s="1" t="s">
        <v>117</v>
      </c>
      <c r="AH5" s="1" t="s">
        <v>62</v>
      </c>
      <c r="AI5" s="1" t="s">
        <v>63</v>
      </c>
      <c r="AJ5" s="1"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1" t="s">
        <v>118</v>
      </c>
      <c r="B6" s="1" t="s">
        <v>119</v>
      </c>
      <c r="C6" s="1" t="s">
        <v>120</v>
      </c>
      <c r="D6" s="13" t="s">
        <v>121</v>
      </c>
      <c r="E6" s="1" t="s">
        <v>122</v>
      </c>
      <c r="F6" s="1" t="s">
        <v>69</v>
      </c>
      <c r="G6" s="1" t="s">
        <v>41</v>
      </c>
      <c r="H6" s="1" t="s">
        <v>42</v>
      </c>
      <c r="I6" s="1" t="s">
        <v>123</v>
      </c>
      <c r="J6" s="1" t="s">
        <v>124</v>
      </c>
      <c r="K6" s="1" t="s">
        <v>125</v>
      </c>
      <c r="L6" s="1" t="s">
        <v>126</v>
      </c>
      <c r="M6" s="6" t="s">
        <v>127</v>
      </c>
      <c r="N6" s="1" t="s">
        <v>128</v>
      </c>
      <c r="O6" s="1" t="s">
        <v>48</v>
      </c>
      <c r="P6" s="1" t="s">
        <v>49</v>
      </c>
      <c r="Q6" s="1" t="s">
        <v>75</v>
      </c>
      <c r="R6" s="1" t="s">
        <v>51</v>
      </c>
      <c r="S6" s="1" t="s">
        <v>129</v>
      </c>
      <c r="T6" s="1" t="s">
        <v>51</v>
      </c>
      <c r="U6" s="1" t="s">
        <v>130</v>
      </c>
      <c r="V6" s="1" t="s">
        <v>131</v>
      </c>
      <c r="W6" s="1" t="s">
        <v>42</v>
      </c>
      <c r="X6" s="1" t="s">
        <v>62</v>
      </c>
      <c r="Y6" s="1" t="s">
        <v>132</v>
      </c>
      <c r="Z6" s="1" t="s">
        <v>133</v>
      </c>
      <c r="AA6" s="1" t="s">
        <v>134</v>
      </c>
      <c r="AB6" s="1" t="s">
        <v>135</v>
      </c>
      <c r="AC6" s="1" t="s">
        <v>136</v>
      </c>
      <c r="AD6" s="1"/>
      <c r="AE6" s="1" t="s">
        <v>60</v>
      </c>
      <c r="AF6" s="5">
        <v>46184</v>
      </c>
      <c r="AG6" s="1" t="s">
        <v>117</v>
      </c>
      <c r="AH6" s="1" t="s">
        <v>137</v>
      </c>
      <c r="AI6" s="1" t="s">
        <v>63</v>
      </c>
      <c r="AJ6" s="1"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1" t="s">
        <v>138</v>
      </c>
      <c r="B7" s="1" t="s">
        <v>139</v>
      </c>
      <c r="C7" s="1" t="s">
        <v>140</v>
      </c>
      <c r="D7" s="13" t="s">
        <v>139</v>
      </c>
      <c r="E7" s="1" t="s">
        <v>141</v>
      </c>
      <c r="F7" s="1" t="s">
        <v>41</v>
      </c>
      <c r="G7" s="1" t="s">
        <v>41</v>
      </c>
      <c r="H7" s="1" t="s">
        <v>42</v>
      </c>
      <c r="I7" s="1" t="s">
        <v>142</v>
      </c>
      <c r="J7" s="1" t="s">
        <v>143</v>
      </c>
      <c r="K7" s="1" t="s">
        <v>144</v>
      </c>
      <c r="L7" s="1" t="s">
        <v>126</v>
      </c>
      <c r="M7" s="1" t="s">
        <v>145</v>
      </c>
      <c r="N7" s="1" t="s">
        <v>146</v>
      </c>
      <c r="O7" s="1" t="s">
        <v>48</v>
      </c>
      <c r="P7" s="1" t="s">
        <v>49</v>
      </c>
      <c r="Q7" s="1" t="s">
        <v>75</v>
      </c>
      <c r="R7" s="1" t="s">
        <v>51</v>
      </c>
      <c r="S7" s="1" t="s">
        <v>129</v>
      </c>
      <c r="T7" s="1" t="s">
        <v>51</v>
      </c>
      <c r="U7" s="1" t="s">
        <v>147</v>
      </c>
      <c r="V7" s="1" t="s">
        <v>148</v>
      </c>
      <c r="W7" s="1" t="s">
        <v>42</v>
      </c>
      <c r="X7" s="1" t="s">
        <v>137</v>
      </c>
      <c r="Y7" s="1" t="s">
        <v>149</v>
      </c>
      <c r="Z7" s="1" t="s">
        <v>150</v>
      </c>
      <c r="AA7" s="1" t="s">
        <v>151</v>
      </c>
      <c r="AB7" s="1" t="s">
        <v>152</v>
      </c>
      <c r="AC7" s="1" t="s">
        <v>153</v>
      </c>
      <c r="AD7" s="1"/>
      <c r="AE7" s="1" t="s">
        <v>60</v>
      </c>
      <c r="AF7" s="5">
        <v>46184</v>
      </c>
      <c r="AG7" s="1" t="s">
        <v>117</v>
      </c>
      <c r="AH7" s="1" t="s">
        <v>62</v>
      </c>
      <c r="AI7" s="1" t="s">
        <v>63</v>
      </c>
      <c r="AJ7" s="1"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7.75" customHeight="1">
      <c r="A8" s="1" t="s">
        <v>154</v>
      </c>
      <c r="B8" s="1" t="s">
        <v>155</v>
      </c>
      <c r="C8" s="1" t="s">
        <v>156</v>
      </c>
      <c r="D8" s="4" t="s">
        <v>157</v>
      </c>
      <c r="E8" s="1" t="s">
        <v>158</v>
      </c>
      <c r="F8" s="1" t="s">
        <v>159</v>
      </c>
      <c r="G8" s="1" t="s">
        <v>160</v>
      </c>
      <c r="H8" s="1" t="s">
        <v>62</v>
      </c>
      <c r="I8" s="1" t="s">
        <v>161</v>
      </c>
      <c r="J8" s="1" t="s">
        <v>162</v>
      </c>
      <c r="K8" s="1" t="s">
        <v>163</v>
      </c>
      <c r="L8" s="1" t="s">
        <v>126</v>
      </c>
      <c r="M8" s="1" t="s">
        <v>164</v>
      </c>
      <c r="N8" s="1" t="s">
        <v>165</v>
      </c>
      <c r="O8" s="1" t="s">
        <v>48</v>
      </c>
      <c r="P8" s="1" t="s">
        <v>49</v>
      </c>
      <c r="Q8" s="1" t="s">
        <v>75</v>
      </c>
      <c r="R8" s="1" t="s">
        <v>51</v>
      </c>
      <c r="S8" s="1" t="s">
        <v>52</v>
      </c>
      <c r="T8" s="1" t="s">
        <v>51</v>
      </c>
      <c r="U8" s="1" t="s">
        <v>166</v>
      </c>
      <c r="V8" s="1" t="s">
        <v>167</v>
      </c>
      <c r="W8" s="1" t="s">
        <v>42</v>
      </c>
      <c r="X8" s="1" t="s">
        <v>62</v>
      </c>
      <c r="Y8" s="1" t="s">
        <v>168</v>
      </c>
      <c r="Z8" s="1" t="s">
        <v>169</v>
      </c>
      <c r="AA8" s="1" t="s">
        <v>170</v>
      </c>
      <c r="AB8" s="1" t="s">
        <v>171</v>
      </c>
      <c r="AC8" s="1" t="s">
        <v>172</v>
      </c>
      <c r="AD8" s="1"/>
      <c r="AE8" s="1" t="s">
        <v>52</v>
      </c>
      <c r="AF8" s="5">
        <v>46185</v>
      </c>
      <c r="AG8" s="1" t="s">
        <v>61</v>
      </c>
      <c r="AH8" s="1" t="s">
        <v>62</v>
      </c>
      <c r="AI8" s="1" t="s">
        <v>63</v>
      </c>
      <c r="AJ8" s="1"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6.5" customHeight="1">
      <c r="A9" s="1" t="s">
        <v>173</v>
      </c>
      <c r="B9" s="1" t="s">
        <v>174</v>
      </c>
      <c r="C9" s="1" t="s">
        <v>175</v>
      </c>
      <c r="D9" s="4" t="s">
        <v>176</v>
      </c>
      <c r="E9" s="1" t="s">
        <v>177</v>
      </c>
      <c r="F9" s="1" t="s">
        <v>160</v>
      </c>
      <c r="G9" s="1" t="s">
        <v>160</v>
      </c>
      <c r="H9" s="1" t="s">
        <v>62</v>
      </c>
      <c r="I9" s="1" t="s">
        <v>161</v>
      </c>
      <c r="J9" s="1" t="s">
        <v>178</v>
      </c>
      <c r="K9" s="1" t="s">
        <v>179</v>
      </c>
      <c r="L9" s="1" t="s">
        <v>126</v>
      </c>
      <c r="M9" s="1" t="s">
        <v>161</v>
      </c>
      <c r="N9" s="1" t="s">
        <v>180</v>
      </c>
      <c r="O9" s="1" t="s">
        <v>48</v>
      </c>
      <c r="P9" s="1" t="s">
        <v>49</v>
      </c>
      <c r="Q9" s="1" t="s">
        <v>75</v>
      </c>
      <c r="R9" s="1" t="s">
        <v>51</v>
      </c>
      <c r="S9" s="1" t="s">
        <v>52</v>
      </c>
      <c r="T9" s="1" t="s">
        <v>51</v>
      </c>
      <c r="U9" s="1" t="s">
        <v>181</v>
      </c>
      <c r="V9" s="1" t="s">
        <v>54</v>
      </c>
      <c r="W9" s="1" t="s">
        <v>42</v>
      </c>
      <c r="X9" s="1" t="s">
        <v>62</v>
      </c>
      <c r="Y9" s="1" t="s">
        <v>182</v>
      </c>
      <c r="Z9" s="1" t="s">
        <v>183</v>
      </c>
      <c r="AA9" s="1" t="s">
        <v>184</v>
      </c>
      <c r="AB9" s="1" t="s">
        <v>185</v>
      </c>
      <c r="AC9" s="1" t="s">
        <v>186</v>
      </c>
      <c r="AD9" s="1"/>
      <c r="AE9" s="1" t="s">
        <v>52</v>
      </c>
      <c r="AF9" s="5">
        <v>46185</v>
      </c>
      <c r="AG9" s="1" t="s">
        <v>61</v>
      </c>
      <c r="AH9" s="1" t="s">
        <v>62</v>
      </c>
      <c r="AI9" s="1" t="s">
        <v>63</v>
      </c>
      <c r="AJ9" s="1"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13.5" customHeight="1">
      <c r="A10" s="1" t="s">
        <v>187</v>
      </c>
      <c r="B10" s="1" t="s">
        <v>188</v>
      </c>
      <c r="C10" s="1" t="s">
        <v>189</v>
      </c>
      <c r="D10" s="1" t="s">
        <v>190</v>
      </c>
      <c r="E10" s="1" t="s">
        <v>191</v>
      </c>
      <c r="F10" s="1" t="s">
        <v>41</v>
      </c>
      <c r="G10" s="1" t="s">
        <v>41</v>
      </c>
      <c r="H10" s="1" t="s">
        <v>42</v>
      </c>
      <c r="I10" s="1" t="s">
        <v>192</v>
      </c>
      <c r="J10" s="1" t="s">
        <v>193</v>
      </c>
      <c r="K10" s="1" t="s">
        <v>194</v>
      </c>
      <c r="L10" s="1" t="s">
        <v>126</v>
      </c>
      <c r="M10" s="1" t="s">
        <v>195</v>
      </c>
      <c r="N10" s="1" t="s">
        <v>196</v>
      </c>
      <c r="O10" s="1" t="s">
        <v>197</v>
      </c>
      <c r="P10" s="1" t="s">
        <v>49</v>
      </c>
      <c r="Q10" s="1" t="s">
        <v>75</v>
      </c>
      <c r="R10" s="1" t="s">
        <v>51</v>
      </c>
      <c r="S10" s="1" t="s">
        <v>52</v>
      </c>
      <c r="T10" s="1" t="s">
        <v>51</v>
      </c>
      <c r="U10" s="1" t="s">
        <v>198</v>
      </c>
      <c r="V10" s="1" t="s">
        <v>54</v>
      </c>
      <c r="W10" s="1" t="s">
        <v>42</v>
      </c>
      <c r="X10" s="1" t="s">
        <v>137</v>
      </c>
      <c r="Y10" s="1" t="s">
        <v>199</v>
      </c>
      <c r="Z10" s="1" t="s">
        <v>200</v>
      </c>
      <c r="AA10" s="1" t="s">
        <v>201</v>
      </c>
      <c r="AB10" s="1" t="s">
        <v>202</v>
      </c>
      <c r="AC10" s="1" t="s">
        <v>203</v>
      </c>
      <c r="AD10" s="1"/>
      <c r="AE10" s="1" t="s">
        <v>52</v>
      </c>
      <c r="AF10" s="5">
        <v>46185</v>
      </c>
      <c r="AG10" s="1" t="s">
        <v>61</v>
      </c>
      <c r="AH10" s="1" t="s">
        <v>62</v>
      </c>
      <c r="AI10" s="1" t="s">
        <v>63</v>
      </c>
      <c r="AJ10" s="1"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ustomHeight="1">
      <c r="A11" s="1" t="s">
        <v>204</v>
      </c>
      <c r="B11" s="1" t="s">
        <v>205</v>
      </c>
      <c r="C11" s="1" t="s">
        <v>206</v>
      </c>
      <c r="D11" s="4" t="s">
        <v>207</v>
      </c>
      <c r="E11" s="1" t="s">
        <v>208</v>
      </c>
      <c r="F11" s="1" t="s">
        <v>69</v>
      </c>
      <c r="G11" s="1" t="s">
        <v>69</v>
      </c>
      <c r="H11" s="1" t="s">
        <v>42</v>
      </c>
      <c r="I11" s="1" t="s">
        <v>209</v>
      </c>
      <c r="J11" s="1" t="s">
        <v>210</v>
      </c>
      <c r="K11" s="1" t="s">
        <v>211</v>
      </c>
      <c r="L11" s="1" t="s">
        <v>126</v>
      </c>
      <c r="M11" s="1" t="s">
        <v>212</v>
      </c>
      <c r="N11" s="1" t="s">
        <v>213</v>
      </c>
      <c r="O11" s="1" t="s">
        <v>197</v>
      </c>
      <c r="P11" s="1" t="s">
        <v>49</v>
      </c>
      <c r="Q11" s="1" t="s">
        <v>75</v>
      </c>
      <c r="R11" s="1" t="s">
        <v>51</v>
      </c>
      <c r="S11" s="1" t="s">
        <v>52</v>
      </c>
      <c r="T11" s="1" t="s">
        <v>51</v>
      </c>
      <c r="U11" s="1" t="s">
        <v>214</v>
      </c>
      <c r="V11" s="1" t="s">
        <v>54</v>
      </c>
      <c r="W11" s="1" t="s">
        <v>42</v>
      </c>
      <c r="X11" s="1" t="s">
        <v>62</v>
      </c>
      <c r="Y11" s="1" t="s">
        <v>215</v>
      </c>
      <c r="Z11" s="1" t="s">
        <v>216</v>
      </c>
      <c r="AA11" s="1" t="s">
        <v>217</v>
      </c>
      <c r="AB11" s="1" t="s">
        <v>185</v>
      </c>
      <c r="AC11" s="1" t="s">
        <v>218</v>
      </c>
      <c r="AD11" s="1"/>
      <c r="AE11" s="1" t="s">
        <v>52</v>
      </c>
      <c r="AF11" s="5">
        <v>46188</v>
      </c>
      <c r="AG11" s="1" t="s">
        <v>61</v>
      </c>
      <c r="AH11" s="1" t="s">
        <v>62</v>
      </c>
      <c r="AI11" s="1" t="s">
        <v>63</v>
      </c>
      <c r="AJ11" s="1"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ustomHeight="1">
      <c r="A12" s="1" t="s">
        <v>219</v>
      </c>
      <c r="B12" s="1" t="s">
        <v>220</v>
      </c>
      <c r="C12" s="1" t="s">
        <v>221</v>
      </c>
      <c r="D12" s="4" t="s">
        <v>222</v>
      </c>
      <c r="E12" s="1" t="s">
        <v>223</v>
      </c>
      <c r="F12" s="1" t="s">
        <v>224</v>
      </c>
      <c r="G12" s="1" t="s">
        <v>160</v>
      </c>
      <c r="H12" s="1" t="s">
        <v>137</v>
      </c>
      <c r="I12" s="1" t="s">
        <v>142</v>
      </c>
      <c r="J12" s="1" t="s">
        <v>225</v>
      </c>
      <c r="K12" s="1" t="s">
        <v>226</v>
      </c>
      <c r="L12" s="1" t="s">
        <v>72</v>
      </c>
      <c r="M12" s="1" t="s">
        <v>227</v>
      </c>
      <c r="N12" s="1" t="s">
        <v>228</v>
      </c>
      <c r="O12" s="1" t="s">
        <v>48</v>
      </c>
      <c r="P12" s="1" t="s">
        <v>49</v>
      </c>
      <c r="Q12" s="1" t="s">
        <v>75</v>
      </c>
      <c r="R12" s="1" t="s">
        <v>51</v>
      </c>
      <c r="S12" s="1" t="s">
        <v>51</v>
      </c>
      <c r="T12" s="1" t="s">
        <v>51</v>
      </c>
      <c r="U12" s="1" t="s">
        <v>229</v>
      </c>
      <c r="V12" s="1" t="s">
        <v>230</v>
      </c>
      <c r="W12" s="1" t="s">
        <v>62</v>
      </c>
      <c r="X12" s="1" t="s">
        <v>42</v>
      </c>
      <c r="Y12" s="1" t="s">
        <v>231</v>
      </c>
      <c r="Z12" s="1" t="s">
        <v>232</v>
      </c>
      <c r="AA12" s="1" t="s">
        <v>233</v>
      </c>
      <c r="AB12" s="1" t="s">
        <v>234</v>
      </c>
      <c r="AC12" s="1" t="s">
        <v>235</v>
      </c>
      <c r="AD12" s="1"/>
      <c r="AE12" s="1" t="s">
        <v>52</v>
      </c>
      <c r="AF12" s="5">
        <v>46188</v>
      </c>
      <c r="AG12" s="1" t="s">
        <v>61</v>
      </c>
      <c r="AH12" s="1" t="s">
        <v>62</v>
      </c>
      <c r="AI12" s="1" t="s">
        <v>63</v>
      </c>
      <c r="AJ12" s="1"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1" t="s">
        <v>236</v>
      </c>
      <c r="B13" s="1" t="s">
        <v>237</v>
      </c>
      <c r="C13" s="1" t="s">
        <v>238</v>
      </c>
      <c r="D13" s="4" t="s">
        <v>239</v>
      </c>
      <c r="E13" s="1" t="s">
        <v>240</v>
      </c>
      <c r="F13" s="1" t="s">
        <v>224</v>
      </c>
      <c r="G13" s="1" t="s">
        <v>224</v>
      </c>
      <c r="H13" s="1" t="s">
        <v>137</v>
      </c>
      <c r="I13" s="1" t="s">
        <v>142</v>
      </c>
      <c r="J13" s="1" t="s">
        <v>241</v>
      </c>
      <c r="K13" s="1" t="s">
        <v>242</v>
      </c>
      <c r="L13" s="1" t="s">
        <v>72</v>
      </c>
      <c r="M13" s="1" t="s">
        <v>243</v>
      </c>
      <c r="N13" s="1" t="s">
        <v>244</v>
      </c>
      <c r="O13" s="1" t="s">
        <v>48</v>
      </c>
      <c r="P13" s="1" t="s">
        <v>49</v>
      </c>
      <c r="Q13" s="1" t="s">
        <v>75</v>
      </c>
      <c r="R13" s="1" t="s">
        <v>51</v>
      </c>
      <c r="S13" s="1" t="s">
        <v>52</v>
      </c>
      <c r="T13" s="1" t="s">
        <v>51</v>
      </c>
      <c r="U13" s="1" t="s">
        <v>245</v>
      </c>
      <c r="V13" s="1" t="s">
        <v>230</v>
      </c>
      <c r="W13" s="1" t="s">
        <v>62</v>
      </c>
      <c r="X13" s="1" t="s">
        <v>42</v>
      </c>
      <c r="Y13" s="1" t="s">
        <v>246</v>
      </c>
      <c r="Z13" s="1" t="s">
        <v>247</v>
      </c>
      <c r="AA13" s="1" t="s">
        <v>248</v>
      </c>
      <c r="AB13" s="1" t="s">
        <v>249</v>
      </c>
      <c r="AC13" s="1" t="s">
        <v>235</v>
      </c>
      <c r="AD13" s="1"/>
      <c r="AE13" s="1" t="s">
        <v>52</v>
      </c>
      <c r="AF13" s="5">
        <v>46188</v>
      </c>
      <c r="AG13" s="1" t="s">
        <v>61</v>
      </c>
      <c r="AH13" s="1" t="s">
        <v>62</v>
      </c>
      <c r="AI13" s="1" t="s">
        <v>63</v>
      </c>
      <c r="AJ13" s="1"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5" customHeight="1">
      <c r="A14" s="1" t="s">
        <v>250</v>
      </c>
      <c r="B14" s="1" t="s">
        <v>251</v>
      </c>
      <c r="C14" s="1" t="s">
        <v>252</v>
      </c>
      <c r="D14" s="1" t="s">
        <v>253</v>
      </c>
      <c r="E14" s="1" t="s">
        <v>254</v>
      </c>
      <c r="F14" s="1" t="s">
        <v>224</v>
      </c>
      <c r="G14" s="1" t="s">
        <v>224</v>
      </c>
      <c r="H14" s="1" t="s">
        <v>137</v>
      </c>
      <c r="I14" s="1" t="s">
        <v>142</v>
      </c>
      <c r="J14" s="1" t="s">
        <v>255</v>
      </c>
      <c r="K14" s="1" t="s">
        <v>256</v>
      </c>
      <c r="L14" s="1" t="s">
        <v>72</v>
      </c>
      <c r="M14" s="1" t="s">
        <v>257</v>
      </c>
      <c r="N14" s="1" t="s">
        <v>258</v>
      </c>
      <c r="O14" s="1" t="s">
        <v>48</v>
      </c>
      <c r="P14" s="1" t="s">
        <v>259</v>
      </c>
      <c r="Q14" s="1" t="s">
        <v>75</v>
      </c>
      <c r="R14" s="1" t="s">
        <v>51</v>
      </c>
      <c r="S14" s="1" t="s">
        <v>51</v>
      </c>
      <c r="T14" s="1" t="s">
        <v>52</v>
      </c>
      <c r="U14" s="1" t="s">
        <v>260</v>
      </c>
      <c r="V14" s="1" t="s">
        <v>261</v>
      </c>
      <c r="W14" s="1" t="s">
        <v>62</v>
      </c>
      <c r="X14" s="1" t="s">
        <v>42</v>
      </c>
      <c r="Y14" s="1" t="s">
        <v>262</v>
      </c>
      <c r="Z14" s="1" t="s">
        <v>263</v>
      </c>
      <c r="AA14" s="1" t="s">
        <v>264</v>
      </c>
      <c r="AB14" s="1" t="s">
        <v>265</v>
      </c>
      <c r="AC14" s="1" t="s">
        <v>266</v>
      </c>
      <c r="AD14" s="1"/>
      <c r="AE14" s="1" t="s">
        <v>51</v>
      </c>
      <c r="AF14" s="5">
        <v>46188</v>
      </c>
      <c r="AG14" s="1" t="s">
        <v>117</v>
      </c>
      <c r="AH14" s="1" t="s">
        <v>62</v>
      </c>
      <c r="AI14" s="1" t="s">
        <v>63</v>
      </c>
      <c r="AJ14" s="1"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9" customHeight="1">
      <c r="A15" s="1" t="s">
        <v>267</v>
      </c>
      <c r="B15" s="1" t="s">
        <v>268</v>
      </c>
      <c r="C15" s="1" t="s">
        <v>269</v>
      </c>
      <c r="D15" s="4" t="s">
        <v>270</v>
      </c>
      <c r="E15" s="1" t="s">
        <v>271</v>
      </c>
      <c r="F15" s="1" t="s">
        <v>224</v>
      </c>
      <c r="G15" s="1" t="s">
        <v>224</v>
      </c>
      <c r="H15" s="1" t="s">
        <v>137</v>
      </c>
      <c r="I15" s="1" t="s">
        <v>272</v>
      </c>
      <c r="J15" s="1" t="s">
        <v>273</v>
      </c>
      <c r="K15" s="1" t="s">
        <v>274</v>
      </c>
      <c r="L15" s="1" t="s">
        <v>72</v>
      </c>
      <c r="M15" s="1" t="s">
        <v>275</v>
      </c>
      <c r="N15" s="1" t="s">
        <v>276</v>
      </c>
      <c r="O15" s="1" t="s">
        <v>48</v>
      </c>
      <c r="P15" s="1" t="s">
        <v>49</v>
      </c>
      <c r="Q15" s="1" t="s">
        <v>75</v>
      </c>
      <c r="R15" s="1" t="s">
        <v>51</v>
      </c>
      <c r="S15" s="1" t="s">
        <v>52</v>
      </c>
      <c r="T15" s="1" t="s">
        <v>51</v>
      </c>
      <c r="U15" s="1" t="s">
        <v>277</v>
      </c>
      <c r="V15" s="1" t="s">
        <v>230</v>
      </c>
      <c r="W15" s="1" t="s">
        <v>62</v>
      </c>
      <c r="X15" s="1" t="s">
        <v>42</v>
      </c>
      <c r="Y15" s="1" t="s">
        <v>278</v>
      </c>
      <c r="Z15" s="1" t="s">
        <v>279</v>
      </c>
      <c r="AA15" s="1" t="s">
        <v>280</v>
      </c>
      <c r="AB15" s="1" t="s">
        <v>281</v>
      </c>
      <c r="AC15" s="1" t="s">
        <v>282</v>
      </c>
      <c r="AD15" s="1"/>
      <c r="AE15" s="1" t="s">
        <v>52</v>
      </c>
      <c r="AF15" s="5">
        <v>46188</v>
      </c>
      <c r="AG15" s="1" t="s">
        <v>61</v>
      </c>
      <c r="AH15" s="1" t="s">
        <v>62</v>
      </c>
      <c r="AI15" s="1" t="s">
        <v>63</v>
      </c>
      <c r="AJ15" s="1"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1" t="s">
        <v>283</v>
      </c>
      <c r="B16" s="1" t="s">
        <v>284</v>
      </c>
      <c r="C16" s="1" t="s">
        <v>285</v>
      </c>
      <c r="D16" s="4" t="s">
        <v>286</v>
      </c>
      <c r="E16" s="1" t="s">
        <v>287</v>
      </c>
      <c r="F16" s="1" t="s">
        <v>224</v>
      </c>
      <c r="G16" s="1" t="s">
        <v>224</v>
      </c>
      <c r="H16" s="1" t="s">
        <v>137</v>
      </c>
      <c r="I16" s="1" t="s">
        <v>142</v>
      </c>
      <c r="J16" s="1" t="s">
        <v>288</v>
      </c>
      <c r="K16" s="1" t="s">
        <v>289</v>
      </c>
      <c r="L16" s="1" t="s">
        <v>290</v>
      </c>
      <c r="M16" s="1" t="s">
        <v>291</v>
      </c>
      <c r="N16" s="1" t="s">
        <v>292</v>
      </c>
      <c r="O16" s="1" t="s">
        <v>48</v>
      </c>
      <c r="P16" s="1" t="s">
        <v>293</v>
      </c>
      <c r="Q16" s="1" t="s">
        <v>294</v>
      </c>
      <c r="R16" s="1" t="s">
        <v>52</v>
      </c>
      <c r="S16" s="1" t="s">
        <v>51</v>
      </c>
      <c r="T16" s="1" t="s">
        <v>51</v>
      </c>
      <c r="U16" s="1" t="s">
        <v>295</v>
      </c>
      <c r="V16" s="1" t="s">
        <v>95</v>
      </c>
      <c r="W16" s="1" t="s">
        <v>62</v>
      </c>
      <c r="X16" s="1" t="s">
        <v>62</v>
      </c>
      <c r="Y16" s="1" t="s">
        <v>296</v>
      </c>
      <c r="Z16" s="1" t="s">
        <v>297</v>
      </c>
      <c r="AA16" s="1" t="s">
        <v>298</v>
      </c>
      <c r="AB16" s="1" t="s">
        <v>299</v>
      </c>
      <c r="AC16" s="1" t="s">
        <v>282</v>
      </c>
      <c r="AD16" s="1"/>
      <c r="AE16" s="1" t="s">
        <v>60</v>
      </c>
      <c r="AF16" s="5">
        <v>46188</v>
      </c>
      <c r="AG16" s="1" t="s">
        <v>61</v>
      </c>
      <c r="AH16" s="1" t="s">
        <v>62</v>
      </c>
      <c r="AI16" s="1" t="s">
        <v>63</v>
      </c>
      <c r="AJ16" s="1"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1" t="s">
        <v>300</v>
      </c>
      <c r="B17" s="1" t="s">
        <v>301</v>
      </c>
      <c r="C17" s="1" t="s">
        <v>302</v>
      </c>
      <c r="D17" s="1" t="s">
        <v>303</v>
      </c>
      <c r="E17" s="1" t="s">
        <v>304</v>
      </c>
      <c r="F17" s="1" t="s">
        <v>224</v>
      </c>
      <c r="G17" s="1" t="s">
        <v>224</v>
      </c>
      <c r="H17" s="1" t="s">
        <v>137</v>
      </c>
      <c r="I17" s="1" t="s">
        <v>49</v>
      </c>
      <c r="J17" s="1" t="s">
        <v>305</v>
      </c>
      <c r="K17" s="1" t="s">
        <v>306</v>
      </c>
      <c r="L17" s="1" t="s">
        <v>92</v>
      </c>
      <c r="M17" s="1" t="s">
        <v>307</v>
      </c>
      <c r="N17" s="1" t="s">
        <v>308</v>
      </c>
      <c r="O17" s="1" t="s">
        <v>48</v>
      </c>
      <c r="P17" s="1" t="s">
        <v>49</v>
      </c>
      <c r="Q17" s="1" t="s">
        <v>49</v>
      </c>
      <c r="R17" s="1" t="s">
        <v>129</v>
      </c>
      <c r="S17" s="1" t="s">
        <v>51</v>
      </c>
      <c r="T17" s="1" t="s">
        <v>129</v>
      </c>
      <c r="U17" s="1" t="s">
        <v>309</v>
      </c>
      <c r="V17" s="1" t="s">
        <v>310</v>
      </c>
      <c r="W17" s="1" t="s">
        <v>62</v>
      </c>
      <c r="X17" s="1" t="s">
        <v>62</v>
      </c>
      <c r="Y17" s="1" t="s">
        <v>311</v>
      </c>
      <c r="Z17" s="1" t="s">
        <v>312</v>
      </c>
      <c r="AA17" s="1" t="s">
        <v>313</v>
      </c>
      <c r="AB17" s="1" t="s">
        <v>314</v>
      </c>
      <c r="AC17" s="1" t="s">
        <v>315</v>
      </c>
      <c r="AD17" s="1"/>
      <c r="AE17" s="1" t="s">
        <v>60</v>
      </c>
      <c r="AF17" s="5">
        <v>46188</v>
      </c>
      <c r="AG17" s="1" t="s">
        <v>117</v>
      </c>
      <c r="AH17" s="1" t="s">
        <v>62</v>
      </c>
      <c r="AI17" s="1" t="s">
        <v>63</v>
      </c>
      <c r="AJ17" s="1"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1" t="s">
        <v>316</v>
      </c>
      <c r="B18" s="1" t="s">
        <v>317</v>
      </c>
      <c r="C18" s="1" t="s">
        <v>318</v>
      </c>
      <c r="D18" s="1" t="s">
        <v>319</v>
      </c>
      <c r="E18" s="1" t="s">
        <v>320</v>
      </c>
      <c r="F18" s="1" t="s">
        <v>224</v>
      </c>
      <c r="G18" s="1" t="s">
        <v>224</v>
      </c>
      <c r="H18" s="1" t="s">
        <v>137</v>
      </c>
      <c r="I18" s="1" t="s">
        <v>142</v>
      </c>
      <c r="J18" s="1" t="s">
        <v>321</v>
      </c>
      <c r="K18" s="1" t="s">
        <v>322</v>
      </c>
      <c r="L18" s="1" t="s">
        <v>323</v>
      </c>
      <c r="M18" s="1" t="s">
        <v>324</v>
      </c>
      <c r="N18" s="1" t="s">
        <v>325</v>
      </c>
      <c r="O18" s="1" t="s">
        <v>48</v>
      </c>
      <c r="P18" s="1" t="s">
        <v>326</v>
      </c>
      <c r="Q18" s="1" t="s">
        <v>327</v>
      </c>
      <c r="R18" s="1" t="s">
        <v>52</v>
      </c>
      <c r="S18" s="1" t="s">
        <v>51</v>
      </c>
      <c r="T18" s="1" t="s">
        <v>52</v>
      </c>
      <c r="U18" s="1" t="s">
        <v>328</v>
      </c>
      <c r="V18" s="1" t="s">
        <v>230</v>
      </c>
      <c r="W18" s="1" t="s">
        <v>42</v>
      </c>
      <c r="X18" s="1" t="s">
        <v>42</v>
      </c>
      <c r="Y18" s="1" t="s">
        <v>329</v>
      </c>
      <c r="Z18" s="1" t="s">
        <v>330</v>
      </c>
      <c r="AA18" s="1" t="s">
        <v>331</v>
      </c>
      <c r="AB18" s="1" t="s">
        <v>332</v>
      </c>
      <c r="AC18" s="1" t="s">
        <v>333</v>
      </c>
      <c r="AD18" s="1"/>
      <c r="AE18" s="1" t="s">
        <v>51</v>
      </c>
      <c r="AF18" s="5">
        <v>46188</v>
      </c>
      <c r="AG18" s="1" t="s">
        <v>117</v>
      </c>
      <c r="AH18" s="1" t="s">
        <v>42</v>
      </c>
      <c r="AI18" s="1" t="s">
        <v>63</v>
      </c>
      <c r="AJ18" s="1"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5" customHeight="1">
      <c r="A19" s="1" t="s">
        <v>334</v>
      </c>
      <c r="B19" s="1" t="s">
        <v>335</v>
      </c>
      <c r="C19" s="1" t="s">
        <v>336</v>
      </c>
      <c r="D19" s="4" t="s">
        <v>337</v>
      </c>
      <c r="E19" s="1" t="s">
        <v>338</v>
      </c>
      <c r="F19" s="1" t="s">
        <v>224</v>
      </c>
      <c r="G19" s="1" t="s">
        <v>224</v>
      </c>
      <c r="H19" s="1" t="s">
        <v>137</v>
      </c>
      <c r="I19" s="1" t="s">
        <v>339</v>
      </c>
      <c r="J19" s="1" t="s">
        <v>340</v>
      </c>
      <c r="K19" s="1" t="s">
        <v>341</v>
      </c>
      <c r="L19" s="1" t="s">
        <v>323</v>
      </c>
      <c r="M19" s="1" t="s">
        <v>342</v>
      </c>
      <c r="N19" s="1" t="s">
        <v>343</v>
      </c>
      <c r="O19" s="1" t="s">
        <v>48</v>
      </c>
      <c r="P19" s="1" t="s">
        <v>326</v>
      </c>
      <c r="Q19" s="1" t="s">
        <v>327</v>
      </c>
      <c r="R19" s="1" t="s">
        <v>52</v>
      </c>
      <c r="S19" s="1" t="s">
        <v>51</v>
      </c>
      <c r="T19" s="1" t="s">
        <v>51</v>
      </c>
      <c r="U19" s="1" t="s">
        <v>344</v>
      </c>
      <c r="V19" s="1" t="s">
        <v>230</v>
      </c>
      <c r="W19" s="1" t="s">
        <v>62</v>
      </c>
      <c r="X19" s="1" t="s">
        <v>42</v>
      </c>
      <c r="Y19" s="1" t="s">
        <v>345</v>
      </c>
      <c r="Z19" s="1" t="s">
        <v>346</v>
      </c>
      <c r="AA19" s="1" t="s">
        <v>347</v>
      </c>
      <c r="AB19" s="1" t="s">
        <v>348</v>
      </c>
      <c r="AC19" s="1" t="s">
        <v>349</v>
      </c>
      <c r="AD19" s="1"/>
      <c r="AE19" s="1" t="s">
        <v>51</v>
      </c>
      <c r="AF19" s="5">
        <v>46189</v>
      </c>
      <c r="AG19" s="1" t="s">
        <v>61</v>
      </c>
      <c r="AH19" s="1" t="s">
        <v>42</v>
      </c>
      <c r="AI19" s="1" t="s">
        <v>63</v>
      </c>
      <c r="AJ19" s="1"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5" customHeight="1">
      <c r="A20" s="1" t="s">
        <v>350</v>
      </c>
      <c r="B20" s="1" t="s">
        <v>351</v>
      </c>
      <c r="C20" s="1" t="s">
        <v>352</v>
      </c>
      <c r="D20" s="4" t="s">
        <v>353</v>
      </c>
      <c r="E20" s="1" t="s">
        <v>354</v>
      </c>
      <c r="F20" s="1" t="s">
        <v>224</v>
      </c>
      <c r="G20" s="1" t="s">
        <v>224</v>
      </c>
      <c r="H20" s="1" t="s">
        <v>137</v>
      </c>
      <c r="I20" s="1" t="s">
        <v>339</v>
      </c>
      <c r="J20" s="1" t="s">
        <v>355</v>
      </c>
      <c r="K20" s="1" t="s">
        <v>356</v>
      </c>
      <c r="L20" s="1" t="s">
        <v>72</v>
      </c>
      <c r="M20" s="1" t="s">
        <v>357</v>
      </c>
      <c r="N20" s="1" t="s">
        <v>358</v>
      </c>
      <c r="O20" s="1" t="s">
        <v>48</v>
      </c>
      <c r="P20" s="1" t="s">
        <v>326</v>
      </c>
      <c r="Q20" s="1" t="s">
        <v>75</v>
      </c>
      <c r="R20" s="1" t="s">
        <v>51</v>
      </c>
      <c r="S20" s="1" t="s">
        <v>51</v>
      </c>
      <c r="T20" s="1" t="s">
        <v>51</v>
      </c>
      <c r="U20" s="1" t="s">
        <v>359</v>
      </c>
      <c r="V20" s="1" t="s">
        <v>360</v>
      </c>
      <c r="W20" s="1" t="s">
        <v>62</v>
      </c>
      <c r="X20" s="1" t="s">
        <v>42</v>
      </c>
      <c r="Y20" s="1" t="s">
        <v>361</v>
      </c>
      <c r="Z20" s="1" t="s">
        <v>362</v>
      </c>
      <c r="AA20" s="1" t="s">
        <v>363</v>
      </c>
      <c r="AB20" s="1" t="s">
        <v>364</v>
      </c>
      <c r="AC20" s="1" t="s">
        <v>365</v>
      </c>
      <c r="AD20" s="1"/>
      <c r="AE20" s="1" t="s">
        <v>51</v>
      </c>
      <c r="AF20" s="5">
        <v>46189</v>
      </c>
      <c r="AG20" s="1" t="s">
        <v>61</v>
      </c>
      <c r="AH20" s="1" t="s">
        <v>42</v>
      </c>
      <c r="AI20" s="1" t="s">
        <v>63</v>
      </c>
      <c r="AJ20" s="1"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5" customHeight="1">
      <c r="A21" s="1" t="s">
        <v>366</v>
      </c>
      <c r="B21" s="1" t="s">
        <v>367</v>
      </c>
      <c r="C21" s="1" t="s">
        <v>368</v>
      </c>
      <c r="D21" s="4" t="s">
        <v>369</v>
      </c>
      <c r="E21" s="1" t="s">
        <v>370</v>
      </c>
      <c r="F21" s="1" t="s">
        <v>224</v>
      </c>
      <c r="G21" s="1" t="s">
        <v>224</v>
      </c>
      <c r="H21" s="1" t="s">
        <v>137</v>
      </c>
      <c r="I21" s="1" t="s">
        <v>339</v>
      </c>
      <c r="J21" s="1" t="s">
        <v>371</v>
      </c>
      <c r="K21" s="1" t="s">
        <v>372</v>
      </c>
      <c r="L21" s="1" t="s">
        <v>323</v>
      </c>
      <c r="M21" s="1" t="s">
        <v>373</v>
      </c>
      <c r="N21" s="1" t="s">
        <v>374</v>
      </c>
      <c r="O21" s="1" t="s">
        <v>375</v>
      </c>
      <c r="P21" s="1" t="s">
        <v>293</v>
      </c>
      <c r="Q21" s="1" t="s">
        <v>376</v>
      </c>
      <c r="R21" s="1" t="s">
        <v>52</v>
      </c>
      <c r="S21" s="1" t="s">
        <v>51</v>
      </c>
      <c r="T21" s="1" t="s">
        <v>51</v>
      </c>
      <c r="U21" s="1" t="s">
        <v>377</v>
      </c>
      <c r="V21" s="1" t="s">
        <v>230</v>
      </c>
      <c r="W21" s="1" t="s">
        <v>62</v>
      </c>
      <c r="X21" s="1" t="s">
        <v>42</v>
      </c>
      <c r="Y21" s="1" t="s">
        <v>378</v>
      </c>
      <c r="Z21" s="1" t="s">
        <v>379</v>
      </c>
      <c r="AA21" s="1" t="s">
        <v>380</v>
      </c>
      <c r="AB21" s="1" t="s">
        <v>381</v>
      </c>
      <c r="AC21" s="1" t="s">
        <v>382</v>
      </c>
      <c r="AD21" s="1"/>
      <c r="AE21" s="1" t="s">
        <v>51</v>
      </c>
      <c r="AF21" s="5">
        <v>46189</v>
      </c>
      <c r="AG21" s="1" t="s">
        <v>61</v>
      </c>
      <c r="AH21" s="1" t="s">
        <v>42</v>
      </c>
      <c r="AI21" s="1" t="s">
        <v>63</v>
      </c>
      <c r="AJ21" s="1"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5" customHeight="1">
      <c r="A22" s="1" t="s">
        <v>383</v>
      </c>
      <c r="B22" s="1" t="s">
        <v>384</v>
      </c>
      <c r="C22" s="1" t="s">
        <v>385</v>
      </c>
      <c r="D22" s="4" t="s">
        <v>386</v>
      </c>
      <c r="E22" s="1" t="s">
        <v>387</v>
      </c>
      <c r="F22" s="1" t="s">
        <v>224</v>
      </c>
      <c r="G22" s="1" t="s">
        <v>224</v>
      </c>
      <c r="H22" s="1" t="s">
        <v>137</v>
      </c>
      <c r="I22" s="1" t="s">
        <v>339</v>
      </c>
      <c r="J22" s="1" t="s">
        <v>371</v>
      </c>
      <c r="K22" s="1" t="s">
        <v>388</v>
      </c>
      <c r="L22" s="1" t="s">
        <v>323</v>
      </c>
      <c r="M22" s="1" t="s">
        <v>389</v>
      </c>
      <c r="N22" s="1" t="s">
        <v>390</v>
      </c>
      <c r="O22" s="1" t="s">
        <v>48</v>
      </c>
      <c r="P22" s="1" t="s">
        <v>293</v>
      </c>
      <c r="Q22" s="1" t="s">
        <v>49</v>
      </c>
      <c r="R22" s="1" t="s">
        <v>52</v>
      </c>
      <c r="S22" s="1" t="s">
        <v>51</v>
      </c>
      <c r="T22" s="1" t="s">
        <v>51</v>
      </c>
      <c r="U22" s="1" t="s">
        <v>391</v>
      </c>
      <c r="V22" s="1" t="s">
        <v>230</v>
      </c>
      <c r="W22" s="1" t="s">
        <v>62</v>
      </c>
      <c r="X22" s="1" t="s">
        <v>42</v>
      </c>
      <c r="Y22" s="1" t="s">
        <v>392</v>
      </c>
      <c r="Z22" s="1" t="s">
        <v>393</v>
      </c>
      <c r="AA22" s="1" t="s">
        <v>394</v>
      </c>
      <c r="AB22" s="1" t="s">
        <v>395</v>
      </c>
      <c r="AC22" s="1" t="s">
        <v>396</v>
      </c>
      <c r="AD22" s="1"/>
      <c r="AE22" s="1" t="s">
        <v>51</v>
      </c>
      <c r="AF22" s="5">
        <v>46189</v>
      </c>
      <c r="AG22" s="1" t="s">
        <v>61</v>
      </c>
      <c r="AH22" s="1" t="s">
        <v>42</v>
      </c>
      <c r="AI22" s="1" t="s">
        <v>63</v>
      </c>
      <c r="AJ22" s="1"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1" t="s">
        <v>397</v>
      </c>
      <c r="B23" s="1" t="s">
        <v>398</v>
      </c>
      <c r="C23" s="1" t="s">
        <v>399</v>
      </c>
      <c r="D23" s="4" t="s">
        <v>400</v>
      </c>
      <c r="E23" s="1" t="s">
        <v>401</v>
      </c>
      <c r="F23" s="1" t="s">
        <v>224</v>
      </c>
      <c r="G23" s="1" t="s">
        <v>224</v>
      </c>
      <c r="H23" s="1" t="s">
        <v>137</v>
      </c>
      <c r="I23" s="1" t="s">
        <v>402</v>
      </c>
      <c r="J23" s="1" t="s">
        <v>403</v>
      </c>
      <c r="K23" s="1" t="s">
        <v>404</v>
      </c>
      <c r="L23" s="1" t="s">
        <v>323</v>
      </c>
      <c r="M23" s="1" t="s">
        <v>405</v>
      </c>
      <c r="N23" s="1" t="s">
        <v>406</v>
      </c>
      <c r="O23" s="1" t="s">
        <v>48</v>
      </c>
      <c r="P23" s="1" t="s">
        <v>293</v>
      </c>
      <c r="Q23" s="1" t="s">
        <v>376</v>
      </c>
      <c r="R23" s="1" t="s">
        <v>52</v>
      </c>
      <c r="S23" s="1" t="s">
        <v>51</v>
      </c>
      <c r="T23" s="1" t="s">
        <v>51</v>
      </c>
      <c r="U23" s="1" t="s">
        <v>407</v>
      </c>
      <c r="V23" s="1" t="s">
        <v>54</v>
      </c>
      <c r="W23" s="1" t="s">
        <v>42</v>
      </c>
      <c r="X23" s="1" t="s">
        <v>42</v>
      </c>
      <c r="Y23" s="1" t="s">
        <v>408</v>
      </c>
      <c r="Z23" s="1" t="s">
        <v>409</v>
      </c>
      <c r="AA23" s="1" t="s">
        <v>410</v>
      </c>
      <c r="AB23" s="1" t="s">
        <v>411</v>
      </c>
      <c r="AC23" s="1" t="s">
        <v>412</v>
      </c>
      <c r="AD23" s="1"/>
      <c r="AE23" s="1" t="s">
        <v>51</v>
      </c>
      <c r="AF23" s="5">
        <v>46189</v>
      </c>
      <c r="AG23" s="1" t="s">
        <v>61</v>
      </c>
      <c r="AH23" s="1" t="s">
        <v>42</v>
      </c>
      <c r="AI23" s="1" t="s">
        <v>63</v>
      </c>
      <c r="AJ23" s="1"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1" t="s">
        <v>413</v>
      </c>
      <c r="B24" s="1" t="s">
        <v>414</v>
      </c>
      <c r="C24" s="1" t="s">
        <v>415</v>
      </c>
      <c r="D24" s="4" t="s">
        <v>416</v>
      </c>
      <c r="E24" s="1" t="s">
        <v>417</v>
      </c>
      <c r="F24" s="1" t="s">
        <v>224</v>
      </c>
      <c r="G24" s="1" t="s">
        <v>224</v>
      </c>
      <c r="H24" s="1" t="s">
        <v>62</v>
      </c>
      <c r="I24" s="1" t="s">
        <v>402</v>
      </c>
      <c r="J24" s="1" t="s">
        <v>418</v>
      </c>
      <c r="K24" s="1" t="s">
        <v>419</v>
      </c>
      <c r="L24" s="1" t="s">
        <v>72</v>
      </c>
      <c r="M24" s="1" t="s">
        <v>420</v>
      </c>
      <c r="N24" s="1" t="s">
        <v>421</v>
      </c>
      <c r="O24" s="1" t="s">
        <v>48</v>
      </c>
      <c r="P24" s="1" t="s">
        <v>49</v>
      </c>
      <c r="Q24" s="1" t="s">
        <v>75</v>
      </c>
      <c r="R24" s="1" t="s">
        <v>51</v>
      </c>
      <c r="S24" s="1" t="s">
        <v>129</v>
      </c>
      <c r="T24" s="1" t="s">
        <v>51</v>
      </c>
      <c r="U24" s="1" t="s">
        <v>422</v>
      </c>
      <c r="V24" s="1" t="s">
        <v>423</v>
      </c>
      <c r="W24" s="1" t="s">
        <v>62</v>
      </c>
      <c r="X24" s="1" t="s">
        <v>62</v>
      </c>
      <c r="Y24" s="1" t="s">
        <v>424</v>
      </c>
      <c r="Z24" s="1" t="s">
        <v>425</v>
      </c>
      <c r="AA24" s="1" t="s">
        <v>426</v>
      </c>
      <c r="AB24" s="1" t="s">
        <v>427</v>
      </c>
      <c r="AC24" s="1" t="s">
        <v>428</v>
      </c>
      <c r="AD24" s="1"/>
      <c r="AE24" s="1" t="s">
        <v>51</v>
      </c>
      <c r="AF24" s="5">
        <v>46189</v>
      </c>
      <c r="AG24" s="1" t="s">
        <v>117</v>
      </c>
      <c r="AH24" s="1" t="s">
        <v>42</v>
      </c>
      <c r="AI24" s="1" t="s">
        <v>63</v>
      </c>
      <c r="AJ24" s="1"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5" customHeight="1">
      <c r="A25" s="1" t="s">
        <v>429</v>
      </c>
      <c r="B25" s="1" t="s">
        <v>430</v>
      </c>
      <c r="C25" s="1" t="s">
        <v>431</v>
      </c>
      <c r="D25" s="4" t="s">
        <v>432</v>
      </c>
      <c r="E25" s="1" t="s">
        <v>433</v>
      </c>
      <c r="F25" s="1" t="s">
        <v>434</v>
      </c>
      <c r="G25" s="1" t="s">
        <v>435</v>
      </c>
      <c r="H25" s="1" t="s">
        <v>62</v>
      </c>
      <c r="I25" s="1" t="s">
        <v>436</v>
      </c>
      <c r="J25" s="1" t="s">
        <v>437</v>
      </c>
      <c r="K25" s="1" t="s">
        <v>438</v>
      </c>
      <c r="L25" s="1" t="s">
        <v>439</v>
      </c>
      <c r="M25" s="1" t="s">
        <v>440</v>
      </c>
      <c r="N25" s="7" t="s">
        <v>441</v>
      </c>
      <c r="O25" s="1" t="s">
        <v>48</v>
      </c>
      <c r="P25" s="1" t="s">
        <v>259</v>
      </c>
      <c r="Q25" s="1" t="s">
        <v>50</v>
      </c>
      <c r="R25" s="1" t="s">
        <v>51</v>
      </c>
      <c r="S25" s="1" t="s">
        <v>51</v>
      </c>
      <c r="T25" s="1" t="s">
        <v>51</v>
      </c>
      <c r="U25" s="1" t="s">
        <v>442</v>
      </c>
      <c r="V25" s="1" t="s">
        <v>423</v>
      </c>
      <c r="W25" s="1" t="s">
        <v>62</v>
      </c>
      <c r="X25" s="1" t="s">
        <v>62</v>
      </c>
      <c r="Y25" s="1" t="s">
        <v>443</v>
      </c>
      <c r="Z25" s="1" t="s">
        <v>444</v>
      </c>
      <c r="AA25" s="1" t="s">
        <v>445</v>
      </c>
      <c r="AB25" s="1" t="s">
        <v>446</v>
      </c>
      <c r="AC25" s="1" t="s">
        <v>447</v>
      </c>
      <c r="AD25" s="1"/>
      <c r="AE25" s="1" t="s">
        <v>51</v>
      </c>
      <c r="AF25" s="5">
        <v>46189</v>
      </c>
      <c r="AG25" s="1" t="s">
        <v>117</v>
      </c>
      <c r="AH25" s="1" t="s">
        <v>62</v>
      </c>
      <c r="AI25" s="1" t="s">
        <v>448</v>
      </c>
      <c r="AJ25" s="1"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1" t="s">
        <v>449</v>
      </c>
      <c r="B26" s="1" t="s">
        <v>450</v>
      </c>
      <c r="C26" s="1" t="s">
        <v>451</v>
      </c>
      <c r="D26" s="4" t="s">
        <v>452</v>
      </c>
      <c r="E26" s="1" t="s">
        <v>453</v>
      </c>
      <c r="F26" s="1" t="s">
        <v>454</v>
      </c>
      <c r="G26" s="1" t="s">
        <v>455</v>
      </c>
      <c r="H26" s="1" t="s">
        <v>137</v>
      </c>
      <c r="I26" s="1" t="s">
        <v>436</v>
      </c>
      <c r="J26" s="1" t="s">
        <v>456</v>
      </c>
      <c r="K26" s="1" t="s">
        <v>457</v>
      </c>
      <c r="L26" s="1" t="s">
        <v>439</v>
      </c>
      <c r="M26" s="1" t="s">
        <v>458</v>
      </c>
      <c r="N26" s="1" t="s">
        <v>459</v>
      </c>
      <c r="O26" s="1" t="s">
        <v>48</v>
      </c>
      <c r="P26" s="1" t="s">
        <v>49</v>
      </c>
      <c r="Q26" s="1" t="s">
        <v>49</v>
      </c>
      <c r="R26" s="1" t="s">
        <v>129</v>
      </c>
      <c r="S26" s="1" t="s">
        <v>51</v>
      </c>
      <c r="T26" s="1" t="s">
        <v>129</v>
      </c>
      <c r="U26" s="1" t="s">
        <v>309</v>
      </c>
      <c r="V26" s="1" t="s">
        <v>309</v>
      </c>
      <c r="W26" s="1" t="s">
        <v>62</v>
      </c>
      <c r="X26" s="1" t="s">
        <v>62</v>
      </c>
      <c r="Y26" s="1" t="s">
        <v>460</v>
      </c>
      <c r="Z26" s="1" t="s">
        <v>461</v>
      </c>
      <c r="AA26" s="1" t="s">
        <v>462</v>
      </c>
      <c r="AB26" s="1" t="s">
        <v>463</v>
      </c>
      <c r="AC26" s="1" t="s">
        <v>464</v>
      </c>
      <c r="AD26" s="1"/>
      <c r="AE26" s="1" t="s">
        <v>51</v>
      </c>
      <c r="AF26" s="5">
        <v>46189</v>
      </c>
      <c r="AG26" s="1" t="s">
        <v>117</v>
      </c>
      <c r="AH26" s="1" t="s">
        <v>62</v>
      </c>
      <c r="AI26" s="1" t="s">
        <v>63</v>
      </c>
      <c r="AJ26" s="1"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5" customHeight="1">
      <c r="A27" s="1" t="s">
        <v>465</v>
      </c>
      <c r="B27" s="1" t="s">
        <v>466</v>
      </c>
      <c r="C27" s="1" t="s">
        <v>467</v>
      </c>
      <c r="D27" s="4" t="s">
        <v>468</v>
      </c>
      <c r="E27" s="1" t="s">
        <v>469</v>
      </c>
      <c r="F27" s="1" t="s">
        <v>41</v>
      </c>
      <c r="G27" s="1" t="s">
        <v>435</v>
      </c>
      <c r="H27" s="1" t="s">
        <v>137</v>
      </c>
      <c r="I27" s="1" t="s">
        <v>436</v>
      </c>
      <c r="J27" s="1" t="s">
        <v>470</v>
      </c>
      <c r="K27" s="1" t="s">
        <v>471</v>
      </c>
      <c r="L27" s="1" t="s">
        <v>439</v>
      </c>
      <c r="M27" s="1" t="s">
        <v>472</v>
      </c>
      <c r="N27" s="1" t="s">
        <v>473</v>
      </c>
      <c r="O27" s="1" t="s">
        <v>48</v>
      </c>
      <c r="P27" s="1" t="s">
        <v>474</v>
      </c>
      <c r="Q27" s="1" t="s">
        <v>50</v>
      </c>
      <c r="R27" s="1" t="s">
        <v>51</v>
      </c>
      <c r="S27" s="1" t="s">
        <v>51</v>
      </c>
      <c r="T27" s="1" t="s">
        <v>51</v>
      </c>
      <c r="U27" s="1" t="s">
        <v>475</v>
      </c>
      <c r="V27" s="1" t="s">
        <v>476</v>
      </c>
      <c r="W27" s="1" t="s">
        <v>42</v>
      </c>
      <c r="X27" s="1" t="s">
        <v>62</v>
      </c>
      <c r="Y27" s="1" t="s">
        <v>477</v>
      </c>
      <c r="Z27" s="1" t="s">
        <v>478</v>
      </c>
      <c r="AA27" s="1" t="s">
        <v>479</v>
      </c>
      <c r="AB27" s="1" t="s">
        <v>480</v>
      </c>
      <c r="AC27" s="1" t="s">
        <v>481</v>
      </c>
      <c r="AD27" s="1"/>
      <c r="AE27" s="1" t="s">
        <v>60</v>
      </c>
      <c r="AF27" s="5">
        <v>46189</v>
      </c>
      <c r="AG27" s="1" t="s">
        <v>117</v>
      </c>
      <c r="AH27" s="1" t="s">
        <v>62</v>
      </c>
      <c r="AI27" s="1" t="s">
        <v>63</v>
      </c>
      <c r="AJ27" s="1"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1" t="s">
        <v>482</v>
      </c>
      <c r="B28" s="1" t="s">
        <v>483</v>
      </c>
      <c r="C28" s="1" t="s">
        <v>484</v>
      </c>
      <c r="D28" s="1" t="s">
        <v>485</v>
      </c>
      <c r="E28" s="1" t="s">
        <v>486</v>
      </c>
      <c r="F28" s="1" t="s">
        <v>224</v>
      </c>
      <c r="G28" s="1" t="s">
        <v>224</v>
      </c>
      <c r="H28" s="1" t="s">
        <v>137</v>
      </c>
      <c r="I28" s="1" t="s">
        <v>402</v>
      </c>
      <c r="J28" s="1" t="s">
        <v>487</v>
      </c>
      <c r="K28" s="1" t="s">
        <v>488</v>
      </c>
      <c r="L28" s="1" t="s">
        <v>49</v>
      </c>
      <c r="M28" s="1" t="s">
        <v>489</v>
      </c>
      <c r="N28" s="1" t="s">
        <v>490</v>
      </c>
      <c r="O28" s="1" t="s">
        <v>48</v>
      </c>
      <c r="P28" s="1" t="s">
        <v>491</v>
      </c>
      <c r="Q28" s="1" t="s">
        <v>49</v>
      </c>
      <c r="R28" s="1" t="s">
        <v>52</v>
      </c>
      <c r="S28" s="1" t="s">
        <v>51</v>
      </c>
      <c r="T28" s="1" t="s">
        <v>52</v>
      </c>
      <c r="U28" s="1" t="s">
        <v>492</v>
      </c>
      <c r="V28" s="1" t="s">
        <v>476</v>
      </c>
      <c r="W28" s="1" t="s">
        <v>62</v>
      </c>
      <c r="X28" s="1" t="s">
        <v>42</v>
      </c>
      <c r="Y28" s="1" t="s">
        <v>493</v>
      </c>
      <c r="Z28" s="1" t="s">
        <v>494</v>
      </c>
      <c r="AA28" s="1" t="s">
        <v>495</v>
      </c>
      <c r="AB28" s="1" t="s">
        <v>496</v>
      </c>
      <c r="AC28" s="1" t="s">
        <v>497</v>
      </c>
      <c r="AD28" s="1"/>
      <c r="AE28" s="1" t="s">
        <v>51</v>
      </c>
      <c r="AF28" s="5">
        <v>46189</v>
      </c>
      <c r="AG28" s="1" t="s">
        <v>117</v>
      </c>
      <c r="AH28" s="1" t="s">
        <v>62</v>
      </c>
      <c r="AI28" s="1" t="s">
        <v>63</v>
      </c>
      <c r="AJ28" s="1"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5" customHeight="1">
      <c r="A29" s="1" t="s">
        <v>498</v>
      </c>
      <c r="B29" s="1" t="s">
        <v>499</v>
      </c>
      <c r="C29" s="1" t="s">
        <v>500</v>
      </c>
      <c r="D29" s="4" t="s">
        <v>501</v>
      </c>
      <c r="E29" s="1" t="s">
        <v>502</v>
      </c>
      <c r="F29" s="1" t="s">
        <v>224</v>
      </c>
      <c r="G29" s="1" t="s">
        <v>224</v>
      </c>
      <c r="H29" s="1" t="s">
        <v>137</v>
      </c>
      <c r="I29" s="1" t="s">
        <v>49</v>
      </c>
      <c r="J29" s="1" t="s">
        <v>503</v>
      </c>
      <c r="K29" s="1" t="s">
        <v>504</v>
      </c>
      <c r="L29" s="1" t="s">
        <v>290</v>
      </c>
      <c r="M29" s="1" t="s">
        <v>505</v>
      </c>
      <c r="N29" s="1" t="s">
        <v>506</v>
      </c>
      <c r="O29" s="1" t="s">
        <v>48</v>
      </c>
      <c r="P29" s="1" t="s">
        <v>49</v>
      </c>
      <c r="Q29" s="1" t="s">
        <v>49</v>
      </c>
      <c r="R29" s="1" t="s">
        <v>129</v>
      </c>
      <c r="S29" s="1" t="s">
        <v>51</v>
      </c>
      <c r="T29" s="1" t="s">
        <v>129</v>
      </c>
      <c r="U29" s="1" t="s">
        <v>507</v>
      </c>
      <c r="V29" s="1" t="s">
        <v>95</v>
      </c>
      <c r="W29" s="1" t="s">
        <v>62</v>
      </c>
      <c r="X29" s="1" t="s">
        <v>62</v>
      </c>
      <c r="Y29" s="1" t="s">
        <v>508</v>
      </c>
      <c r="Z29" s="1" t="s">
        <v>509</v>
      </c>
      <c r="AA29" s="1" t="s">
        <v>510</v>
      </c>
      <c r="AB29" s="1" t="s">
        <v>511</v>
      </c>
      <c r="AC29" s="1" t="s">
        <v>512</v>
      </c>
      <c r="AD29" s="1"/>
      <c r="AE29" s="1" t="s">
        <v>60</v>
      </c>
      <c r="AF29" s="5">
        <v>46190</v>
      </c>
      <c r="AG29" s="1" t="s">
        <v>61</v>
      </c>
      <c r="AH29" s="1" t="s">
        <v>62</v>
      </c>
      <c r="AI29" s="1" t="s">
        <v>63</v>
      </c>
      <c r="AJ29" s="1"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5" customHeight="1">
      <c r="A30" s="1" t="s">
        <v>513</v>
      </c>
      <c r="B30" s="1" t="s">
        <v>514</v>
      </c>
      <c r="C30" s="1" t="s">
        <v>515</v>
      </c>
      <c r="D30" s="4" t="s">
        <v>516</v>
      </c>
      <c r="E30" s="1" t="s">
        <v>517</v>
      </c>
      <c r="F30" s="1" t="s">
        <v>160</v>
      </c>
      <c r="G30" s="1" t="s">
        <v>160</v>
      </c>
      <c r="H30" s="1" t="s">
        <v>62</v>
      </c>
      <c r="I30" s="1" t="s">
        <v>518</v>
      </c>
      <c r="J30" s="1" t="s">
        <v>519</v>
      </c>
      <c r="K30" s="1" t="s">
        <v>520</v>
      </c>
      <c r="L30" s="1" t="s">
        <v>72</v>
      </c>
      <c r="M30" s="1" t="s">
        <v>521</v>
      </c>
      <c r="N30" s="1" t="s">
        <v>522</v>
      </c>
      <c r="O30" s="1" t="s">
        <v>48</v>
      </c>
      <c r="P30" s="1" t="s">
        <v>523</v>
      </c>
      <c r="Q30" s="1" t="s">
        <v>75</v>
      </c>
      <c r="R30" s="1" t="s">
        <v>51</v>
      </c>
      <c r="S30" s="1" t="s">
        <v>52</v>
      </c>
      <c r="T30" s="1" t="s">
        <v>51</v>
      </c>
      <c r="U30" s="1" t="s">
        <v>524</v>
      </c>
      <c r="V30" s="1" t="s">
        <v>230</v>
      </c>
      <c r="W30" s="1" t="s">
        <v>62</v>
      </c>
      <c r="X30" s="1" t="s">
        <v>62</v>
      </c>
      <c r="Y30" s="1" t="s">
        <v>525</v>
      </c>
      <c r="Z30" s="1" t="s">
        <v>526</v>
      </c>
      <c r="AA30" s="1" t="s">
        <v>527</v>
      </c>
      <c r="AB30" s="1" t="s">
        <v>528</v>
      </c>
      <c r="AC30" s="1" t="s">
        <v>529</v>
      </c>
      <c r="AD30" s="1"/>
      <c r="AE30" s="1" t="s">
        <v>52</v>
      </c>
      <c r="AF30" s="5">
        <v>46190</v>
      </c>
      <c r="AG30" s="1" t="s">
        <v>61</v>
      </c>
      <c r="AH30" s="1" t="s">
        <v>62</v>
      </c>
      <c r="AI30" s="1" t="s">
        <v>63</v>
      </c>
      <c r="AJ30" s="1"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5" customHeight="1">
      <c r="A31" s="1" t="s">
        <v>530</v>
      </c>
      <c r="B31" s="1" t="s">
        <v>531</v>
      </c>
      <c r="C31" s="1" t="s">
        <v>532</v>
      </c>
      <c r="D31" s="4" t="s">
        <v>533</v>
      </c>
      <c r="E31" s="1" t="s">
        <v>534</v>
      </c>
      <c r="F31" s="1" t="s">
        <v>224</v>
      </c>
      <c r="G31" s="1" t="s">
        <v>224</v>
      </c>
      <c r="H31" s="1" t="s">
        <v>137</v>
      </c>
      <c r="I31" s="1" t="s">
        <v>518</v>
      </c>
      <c r="J31" s="1" t="s">
        <v>535</v>
      </c>
      <c r="K31" s="1" t="s">
        <v>536</v>
      </c>
      <c r="L31" s="1" t="s">
        <v>92</v>
      </c>
      <c r="M31" s="1" t="s">
        <v>537</v>
      </c>
      <c r="N31" s="1" t="s">
        <v>538</v>
      </c>
      <c r="O31" s="1" t="s">
        <v>48</v>
      </c>
      <c r="P31" s="1" t="s">
        <v>259</v>
      </c>
      <c r="Q31" s="1" t="s">
        <v>75</v>
      </c>
      <c r="R31" s="1" t="s">
        <v>51</v>
      </c>
      <c r="S31" s="1" t="s">
        <v>51</v>
      </c>
      <c r="T31" s="1" t="s">
        <v>52</v>
      </c>
      <c r="U31" s="1" t="s">
        <v>166</v>
      </c>
      <c r="V31" s="1" t="s">
        <v>95</v>
      </c>
      <c r="W31" s="1" t="s">
        <v>62</v>
      </c>
      <c r="X31" s="1" t="s">
        <v>62</v>
      </c>
      <c r="Y31" s="1" t="s">
        <v>539</v>
      </c>
      <c r="Z31" s="1" t="s">
        <v>540</v>
      </c>
      <c r="AA31" s="1" t="s">
        <v>541</v>
      </c>
      <c r="AB31" s="1" t="s">
        <v>542</v>
      </c>
      <c r="AC31" s="1" t="s">
        <v>543</v>
      </c>
      <c r="AD31" s="1"/>
      <c r="AE31" s="1" t="s">
        <v>52</v>
      </c>
      <c r="AF31" s="5">
        <v>46190</v>
      </c>
      <c r="AG31" s="1" t="s">
        <v>61</v>
      </c>
      <c r="AH31" s="1" t="s">
        <v>62</v>
      </c>
      <c r="AI31" s="1" t="s">
        <v>63</v>
      </c>
      <c r="AJ31" s="1"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5" customHeight="1">
      <c r="A32" s="1" t="s">
        <v>544</v>
      </c>
      <c r="B32" s="1" t="s">
        <v>545</v>
      </c>
      <c r="C32" s="1" t="s">
        <v>546</v>
      </c>
      <c r="D32" s="4" t="s">
        <v>547</v>
      </c>
      <c r="E32" s="1" t="s">
        <v>548</v>
      </c>
      <c r="F32" s="1" t="s">
        <v>224</v>
      </c>
      <c r="G32" s="1" t="s">
        <v>224</v>
      </c>
      <c r="H32" s="1" t="s">
        <v>137</v>
      </c>
      <c r="I32" s="1" t="s">
        <v>549</v>
      </c>
      <c r="J32" s="1" t="s">
        <v>550</v>
      </c>
      <c r="K32" s="1" t="s">
        <v>551</v>
      </c>
      <c r="L32" s="1" t="s">
        <v>92</v>
      </c>
      <c r="M32" s="1" t="s">
        <v>552</v>
      </c>
      <c r="N32" s="1" t="s">
        <v>553</v>
      </c>
      <c r="O32" s="1" t="s">
        <v>48</v>
      </c>
      <c r="P32" s="1" t="s">
        <v>523</v>
      </c>
      <c r="Q32" s="1" t="s">
        <v>50</v>
      </c>
      <c r="R32" s="1" t="s">
        <v>51</v>
      </c>
      <c r="S32" s="1" t="s">
        <v>51</v>
      </c>
      <c r="T32" s="1" t="s">
        <v>52</v>
      </c>
      <c r="U32" s="1" t="s">
        <v>554</v>
      </c>
      <c r="V32" s="1" t="s">
        <v>95</v>
      </c>
      <c r="W32" s="1" t="s">
        <v>62</v>
      </c>
      <c r="X32" s="1" t="s">
        <v>62</v>
      </c>
      <c r="Y32" s="1" t="s">
        <v>555</v>
      </c>
      <c r="Z32" s="1" t="s">
        <v>556</v>
      </c>
      <c r="AA32" s="1" t="s">
        <v>557</v>
      </c>
      <c r="AB32" s="1" t="s">
        <v>558</v>
      </c>
      <c r="AC32" s="1" t="s">
        <v>559</v>
      </c>
      <c r="AD32" s="1"/>
      <c r="AE32" s="1" t="s">
        <v>52</v>
      </c>
      <c r="AF32" s="5">
        <v>46190</v>
      </c>
      <c r="AG32" s="1" t="s">
        <v>61</v>
      </c>
      <c r="AH32" s="1" t="s">
        <v>62</v>
      </c>
      <c r="AI32" s="1" t="s">
        <v>63</v>
      </c>
      <c r="AJ32" s="1"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5" customHeight="1">
      <c r="A33" s="1" t="s">
        <v>560</v>
      </c>
      <c r="B33" s="1" t="s">
        <v>561</v>
      </c>
      <c r="C33" s="1" t="s">
        <v>562</v>
      </c>
      <c r="D33" s="4" t="s">
        <v>563</v>
      </c>
      <c r="E33" s="1" t="s">
        <v>564</v>
      </c>
      <c r="F33" s="1" t="s">
        <v>224</v>
      </c>
      <c r="G33" s="1" t="s">
        <v>224</v>
      </c>
      <c r="H33" s="1" t="s">
        <v>137</v>
      </c>
      <c r="I33" s="1" t="s">
        <v>549</v>
      </c>
      <c r="J33" s="1" t="s">
        <v>565</v>
      </c>
      <c r="K33" s="1" t="s">
        <v>566</v>
      </c>
      <c r="L33" s="1" t="s">
        <v>290</v>
      </c>
      <c r="M33" s="1" t="s">
        <v>567</v>
      </c>
      <c r="N33" s="1" t="s">
        <v>568</v>
      </c>
      <c r="O33" s="1" t="s">
        <v>48</v>
      </c>
      <c r="P33" s="1" t="s">
        <v>49</v>
      </c>
      <c r="Q33" s="1" t="s">
        <v>294</v>
      </c>
      <c r="R33" s="1" t="s">
        <v>52</v>
      </c>
      <c r="S33" s="1" t="s">
        <v>51</v>
      </c>
      <c r="T33" s="1" t="s">
        <v>51</v>
      </c>
      <c r="U33" s="1" t="s">
        <v>569</v>
      </c>
      <c r="V33" s="1" t="s">
        <v>95</v>
      </c>
      <c r="W33" s="1" t="s">
        <v>62</v>
      </c>
      <c r="X33" s="1" t="s">
        <v>62</v>
      </c>
      <c r="Y33" s="1" t="s">
        <v>570</v>
      </c>
      <c r="Z33" s="1" t="s">
        <v>571</v>
      </c>
      <c r="AA33" s="1" t="s">
        <v>572</v>
      </c>
      <c r="AB33" s="1" t="s">
        <v>573</v>
      </c>
      <c r="AC33" s="1" t="s">
        <v>574</v>
      </c>
      <c r="AD33" s="1"/>
      <c r="AE33" s="1" t="s">
        <v>52</v>
      </c>
      <c r="AF33" s="5">
        <v>46190</v>
      </c>
      <c r="AG33" s="1" t="s">
        <v>61</v>
      </c>
      <c r="AH33" s="1" t="s">
        <v>62</v>
      </c>
      <c r="AI33" s="1" t="s">
        <v>63</v>
      </c>
      <c r="AJ33" s="1"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5" customHeight="1">
      <c r="A34" s="1" t="s">
        <v>575</v>
      </c>
      <c r="B34" s="1" t="s">
        <v>576</v>
      </c>
      <c r="C34" s="1" t="s">
        <v>577</v>
      </c>
      <c r="D34" s="4" t="s">
        <v>578</v>
      </c>
      <c r="E34" s="1" t="s">
        <v>579</v>
      </c>
      <c r="F34" s="1" t="s">
        <v>224</v>
      </c>
      <c r="G34" s="1" t="s">
        <v>224</v>
      </c>
      <c r="H34" s="1" t="s">
        <v>137</v>
      </c>
      <c r="I34" s="1" t="s">
        <v>580</v>
      </c>
      <c r="J34" s="1" t="s">
        <v>581</v>
      </c>
      <c r="K34" s="1" t="s">
        <v>582</v>
      </c>
      <c r="L34" s="1" t="s">
        <v>290</v>
      </c>
      <c r="M34" s="1" t="s">
        <v>583</v>
      </c>
      <c r="N34" s="1" t="s">
        <v>584</v>
      </c>
      <c r="O34" s="1" t="s">
        <v>48</v>
      </c>
      <c r="P34" s="1" t="s">
        <v>293</v>
      </c>
      <c r="Q34" s="1" t="s">
        <v>293</v>
      </c>
      <c r="R34" s="1" t="s">
        <v>52</v>
      </c>
      <c r="S34" s="1" t="s">
        <v>51</v>
      </c>
      <c r="T34" s="1" t="s">
        <v>51</v>
      </c>
      <c r="U34" s="1" t="s">
        <v>585</v>
      </c>
      <c r="V34" s="1" t="s">
        <v>95</v>
      </c>
      <c r="W34" s="1" t="s">
        <v>62</v>
      </c>
      <c r="X34" s="1" t="s">
        <v>42</v>
      </c>
      <c r="Y34" s="1" t="s">
        <v>586</v>
      </c>
      <c r="Z34" s="1" t="s">
        <v>587</v>
      </c>
      <c r="AA34" s="1" t="s">
        <v>588</v>
      </c>
      <c r="AB34" s="1" t="s">
        <v>589</v>
      </c>
      <c r="AC34" s="1" t="s">
        <v>590</v>
      </c>
      <c r="AD34" s="1"/>
      <c r="AE34" s="1" t="s">
        <v>60</v>
      </c>
      <c r="AF34" s="5">
        <v>46190</v>
      </c>
      <c r="AG34" s="1" t="s">
        <v>61</v>
      </c>
      <c r="AH34" s="1" t="s">
        <v>62</v>
      </c>
      <c r="AI34" s="1" t="s">
        <v>63</v>
      </c>
      <c r="AJ34" s="1" t="str">
        <f t="shared" ref="AJ34:AJ65"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5" customHeight="1">
      <c r="A35" s="1" t="s">
        <v>591</v>
      </c>
      <c r="B35" s="1" t="s">
        <v>592</v>
      </c>
      <c r="C35" s="1" t="s">
        <v>593</v>
      </c>
      <c r="D35" s="4" t="s">
        <v>594</v>
      </c>
      <c r="E35" s="1" t="s">
        <v>595</v>
      </c>
      <c r="F35" s="1" t="s">
        <v>224</v>
      </c>
      <c r="G35" s="1" t="s">
        <v>224</v>
      </c>
      <c r="H35" s="1" t="s">
        <v>137</v>
      </c>
      <c r="I35" s="1" t="s">
        <v>580</v>
      </c>
      <c r="J35" s="1" t="s">
        <v>596</v>
      </c>
      <c r="K35" s="1" t="s">
        <v>597</v>
      </c>
      <c r="L35" s="1" t="s">
        <v>290</v>
      </c>
      <c r="M35" s="1" t="s">
        <v>598</v>
      </c>
      <c r="N35" s="1" t="s">
        <v>599</v>
      </c>
      <c r="O35" s="1" t="s">
        <v>48</v>
      </c>
      <c r="P35" s="1" t="s">
        <v>293</v>
      </c>
      <c r="Q35" s="1" t="s">
        <v>600</v>
      </c>
      <c r="R35" s="1" t="s">
        <v>52</v>
      </c>
      <c r="S35" s="1" t="s">
        <v>51</v>
      </c>
      <c r="T35" s="1" t="s">
        <v>51</v>
      </c>
      <c r="U35" s="1" t="s">
        <v>601</v>
      </c>
      <c r="V35" s="1" t="s">
        <v>95</v>
      </c>
      <c r="W35" s="1" t="s">
        <v>62</v>
      </c>
      <c r="X35" s="1" t="s">
        <v>42</v>
      </c>
      <c r="Y35" s="1" t="s">
        <v>602</v>
      </c>
      <c r="Z35" s="1" t="s">
        <v>603</v>
      </c>
      <c r="AA35" s="1" t="s">
        <v>604</v>
      </c>
      <c r="AB35" s="1" t="s">
        <v>605</v>
      </c>
      <c r="AC35" s="1" t="s">
        <v>606</v>
      </c>
      <c r="AD35" s="1"/>
      <c r="AE35" s="1" t="s">
        <v>60</v>
      </c>
      <c r="AF35" s="5">
        <v>46190</v>
      </c>
      <c r="AG35" s="1" t="s">
        <v>61</v>
      </c>
      <c r="AH35" s="1" t="s">
        <v>62</v>
      </c>
      <c r="AI35" s="1" t="s">
        <v>63</v>
      </c>
      <c r="AJ35" s="1"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1" t="s">
        <v>607</v>
      </c>
      <c r="B36" s="1" t="s">
        <v>608</v>
      </c>
      <c r="C36" s="1" t="s">
        <v>609</v>
      </c>
      <c r="D36" s="1" t="s">
        <v>610</v>
      </c>
      <c r="E36" s="1" t="s">
        <v>611</v>
      </c>
      <c r="F36" s="1" t="s">
        <v>224</v>
      </c>
      <c r="G36" s="1" t="s">
        <v>224</v>
      </c>
      <c r="H36" s="1" t="s">
        <v>137</v>
      </c>
      <c r="I36" s="1" t="s">
        <v>580</v>
      </c>
      <c r="J36" s="1" t="s">
        <v>612</v>
      </c>
      <c r="K36" s="1" t="s">
        <v>613</v>
      </c>
      <c r="L36" s="1" t="s">
        <v>290</v>
      </c>
      <c r="M36" s="1" t="s">
        <v>614</v>
      </c>
      <c r="N36" s="1" t="s">
        <v>615</v>
      </c>
      <c r="O36" s="1" t="s">
        <v>48</v>
      </c>
      <c r="P36" s="1" t="s">
        <v>616</v>
      </c>
      <c r="Q36" s="1" t="s">
        <v>293</v>
      </c>
      <c r="R36" s="1" t="s">
        <v>52</v>
      </c>
      <c r="S36" s="1" t="s">
        <v>51</v>
      </c>
      <c r="T36" s="1" t="s">
        <v>51</v>
      </c>
      <c r="U36" s="1" t="s">
        <v>617</v>
      </c>
      <c r="V36" s="1" t="s">
        <v>618</v>
      </c>
      <c r="W36" s="1" t="s">
        <v>62</v>
      </c>
      <c r="X36" s="1" t="s">
        <v>42</v>
      </c>
      <c r="Y36" s="1" t="s">
        <v>619</v>
      </c>
      <c r="Z36" s="1" t="s">
        <v>620</v>
      </c>
      <c r="AA36" s="1" t="s">
        <v>621</v>
      </c>
      <c r="AB36" s="1" t="s">
        <v>622</v>
      </c>
      <c r="AC36" s="1" t="s">
        <v>623</v>
      </c>
      <c r="AD36" s="1"/>
      <c r="AE36" s="1" t="s">
        <v>51</v>
      </c>
      <c r="AF36" s="5">
        <v>46190</v>
      </c>
      <c r="AG36" s="1" t="s">
        <v>117</v>
      </c>
      <c r="AH36" s="1" t="s">
        <v>62</v>
      </c>
      <c r="AI36" s="1" t="s">
        <v>63</v>
      </c>
      <c r="AJ36" s="1"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5" customHeight="1">
      <c r="A37" s="1" t="s">
        <v>624</v>
      </c>
      <c r="B37" s="1" t="s">
        <v>625</v>
      </c>
      <c r="C37" s="1" t="s">
        <v>626</v>
      </c>
      <c r="D37" s="4" t="s">
        <v>627</v>
      </c>
      <c r="E37" s="1" t="s">
        <v>628</v>
      </c>
      <c r="F37" s="1" t="s">
        <v>455</v>
      </c>
      <c r="G37" s="1" t="s">
        <v>455</v>
      </c>
      <c r="H37" s="1" t="s">
        <v>62</v>
      </c>
      <c r="I37" s="1" t="s">
        <v>89</v>
      </c>
      <c r="J37" s="1" t="s">
        <v>629</v>
      </c>
      <c r="K37" s="1" t="s">
        <v>630</v>
      </c>
      <c r="L37" s="1" t="s">
        <v>192</v>
      </c>
      <c r="M37" s="1" t="s">
        <v>631</v>
      </c>
      <c r="N37" s="1" t="s">
        <v>632</v>
      </c>
      <c r="O37" s="1" t="s">
        <v>48</v>
      </c>
      <c r="P37" s="1" t="s">
        <v>49</v>
      </c>
      <c r="Q37" s="1" t="s">
        <v>50</v>
      </c>
      <c r="R37" s="1" t="s">
        <v>51</v>
      </c>
      <c r="S37" s="1" t="s">
        <v>52</v>
      </c>
      <c r="T37" s="1" t="s">
        <v>129</v>
      </c>
      <c r="U37" s="1" t="s">
        <v>633</v>
      </c>
      <c r="V37" s="1" t="s">
        <v>507</v>
      </c>
      <c r="W37" s="1" t="s">
        <v>62</v>
      </c>
      <c r="X37" s="1" t="s">
        <v>62</v>
      </c>
      <c r="Y37" s="1" t="s">
        <v>634</v>
      </c>
      <c r="Z37" s="1" t="s">
        <v>635</v>
      </c>
      <c r="AA37" s="1" t="s">
        <v>636</v>
      </c>
      <c r="AB37" s="1" t="s">
        <v>637</v>
      </c>
      <c r="AC37" s="1" t="s">
        <v>638</v>
      </c>
      <c r="AD37" s="1"/>
      <c r="AE37" s="1" t="s">
        <v>60</v>
      </c>
      <c r="AF37" s="5">
        <v>46191</v>
      </c>
      <c r="AG37" s="1" t="s">
        <v>61</v>
      </c>
      <c r="AH37" s="1" t="s">
        <v>62</v>
      </c>
      <c r="AI37" s="1" t="s">
        <v>63</v>
      </c>
      <c r="AJ37" s="1"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5" customHeight="1">
      <c r="A38" s="1" t="s">
        <v>639</v>
      </c>
      <c r="B38" s="1" t="s">
        <v>640</v>
      </c>
      <c r="C38" s="1" t="s">
        <v>641</v>
      </c>
      <c r="D38" s="4" t="s">
        <v>642</v>
      </c>
      <c r="E38" s="1" t="s">
        <v>643</v>
      </c>
      <c r="F38" s="1" t="s">
        <v>224</v>
      </c>
      <c r="G38" s="1" t="s">
        <v>224</v>
      </c>
      <c r="H38" s="1" t="s">
        <v>137</v>
      </c>
      <c r="I38" s="1" t="s">
        <v>209</v>
      </c>
      <c r="J38" s="1" t="s">
        <v>644</v>
      </c>
      <c r="K38" s="1" t="s">
        <v>645</v>
      </c>
      <c r="L38" s="1" t="s">
        <v>209</v>
      </c>
      <c r="M38" s="1" t="s">
        <v>646</v>
      </c>
      <c r="N38" s="1" t="s">
        <v>647</v>
      </c>
      <c r="O38" s="1" t="s">
        <v>197</v>
      </c>
      <c r="P38" s="1" t="s">
        <v>49</v>
      </c>
      <c r="Q38" s="1" t="s">
        <v>50</v>
      </c>
      <c r="R38" s="1" t="s">
        <v>51</v>
      </c>
      <c r="S38" s="1" t="s">
        <v>52</v>
      </c>
      <c r="T38" s="1" t="s">
        <v>129</v>
      </c>
      <c r="U38" s="1" t="s">
        <v>648</v>
      </c>
      <c r="V38" s="1" t="s">
        <v>649</v>
      </c>
      <c r="W38" s="1" t="s">
        <v>62</v>
      </c>
      <c r="X38" s="1" t="s">
        <v>62</v>
      </c>
      <c r="Y38" s="1" t="s">
        <v>650</v>
      </c>
      <c r="Z38" s="1" t="s">
        <v>651</v>
      </c>
      <c r="AA38" s="1" t="s">
        <v>652</v>
      </c>
      <c r="AB38" s="1" t="s">
        <v>653</v>
      </c>
      <c r="AC38" s="1" t="s">
        <v>654</v>
      </c>
      <c r="AD38" s="1"/>
      <c r="AE38" s="1" t="s">
        <v>60</v>
      </c>
      <c r="AF38" s="5">
        <v>46191</v>
      </c>
      <c r="AG38" s="1" t="s">
        <v>61</v>
      </c>
      <c r="AH38" s="1" t="s">
        <v>62</v>
      </c>
      <c r="AI38" s="1" t="s">
        <v>63</v>
      </c>
      <c r="AJ38" s="1"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5" customHeight="1">
      <c r="A39" s="1" t="s">
        <v>655</v>
      </c>
      <c r="B39" s="1" t="s">
        <v>656</v>
      </c>
      <c r="C39" s="1" t="s">
        <v>657</v>
      </c>
      <c r="D39" s="4" t="s">
        <v>658</v>
      </c>
      <c r="E39" s="1" t="s">
        <v>659</v>
      </c>
      <c r="F39" s="1" t="s">
        <v>455</v>
      </c>
      <c r="G39" s="1" t="s">
        <v>455</v>
      </c>
      <c r="H39" s="1" t="s">
        <v>62</v>
      </c>
      <c r="I39" s="1" t="s">
        <v>192</v>
      </c>
      <c r="J39" s="1" t="s">
        <v>660</v>
      </c>
      <c r="K39" s="1" t="s">
        <v>661</v>
      </c>
      <c r="L39" s="1" t="s">
        <v>192</v>
      </c>
      <c r="M39" s="1" t="s">
        <v>662</v>
      </c>
      <c r="N39" s="1" t="s">
        <v>663</v>
      </c>
      <c r="O39" s="1" t="s">
        <v>48</v>
      </c>
      <c r="P39" s="1" t="s">
        <v>49</v>
      </c>
      <c r="Q39" s="1" t="s">
        <v>75</v>
      </c>
      <c r="R39" s="1" t="s">
        <v>51</v>
      </c>
      <c r="S39" s="1" t="s">
        <v>52</v>
      </c>
      <c r="T39" s="1" t="s">
        <v>51</v>
      </c>
      <c r="U39" s="1" t="s">
        <v>664</v>
      </c>
      <c r="V39" s="1" t="s">
        <v>665</v>
      </c>
      <c r="W39" s="1" t="s">
        <v>62</v>
      </c>
      <c r="X39" s="1" t="s">
        <v>62</v>
      </c>
      <c r="Y39" s="1" t="s">
        <v>666</v>
      </c>
      <c r="Z39" s="1" t="s">
        <v>667</v>
      </c>
      <c r="AA39" s="1" t="s">
        <v>668</v>
      </c>
      <c r="AB39" s="1" t="s">
        <v>669</v>
      </c>
      <c r="AC39" s="1" t="s">
        <v>670</v>
      </c>
      <c r="AD39" s="1"/>
      <c r="AE39" s="1" t="s">
        <v>52</v>
      </c>
      <c r="AF39" s="5">
        <v>46191</v>
      </c>
      <c r="AG39" s="1" t="s">
        <v>61</v>
      </c>
      <c r="AH39" s="1" t="s">
        <v>137</v>
      </c>
      <c r="AI39" s="1" t="s">
        <v>63</v>
      </c>
      <c r="AJ39" s="1"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5" customHeight="1">
      <c r="A40" s="1" t="s">
        <v>671</v>
      </c>
      <c r="B40" s="1" t="s">
        <v>672</v>
      </c>
      <c r="C40" s="1" t="s">
        <v>673</v>
      </c>
      <c r="D40" s="4" t="s">
        <v>674</v>
      </c>
      <c r="E40" s="1" t="s">
        <v>675</v>
      </c>
      <c r="F40" s="1" t="s">
        <v>224</v>
      </c>
      <c r="G40" s="1" t="s">
        <v>224</v>
      </c>
      <c r="H40" s="1" t="s">
        <v>137</v>
      </c>
      <c r="I40" s="1" t="s">
        <v>192</v>
      </c>
      <c r="J40" s="1" t="s">
        <v>676</v>
      </c>
      <c r="K40" s="1" t="s">
        <v>677</v>
      </c>
      <c r="L40" s="1" t="s">
        <v>192</v>
      </c>
      <c r="M40" s="1" t="s">
        <v>678</v>
      </c>
      <c r="N40" s="1" t="s">
        <v>679</v>
      </c>
      <c r="O40" s="1" t="s">
        <v>197</v>
      </c>
      <c r="P40" s="1" t="s">
        <v>49</v>
      </c>
      <c r="Q40" s="1" t="s">
        <v>75</v>
      </c>
      <c r="R40" s="1" t="s">
        <v>51</v>
      </c>
      <c r="S40" s="1" t="s">
        <v>52</v>
      </c>
      <c r="T40" s="1" t="s">
        <v>129</v>
      </c>
      <c r="U40" s="1" t="s">
        <v>344</v>
      </c>
      <c r="V40" s="1" t="s">
        <v>649</v>
      </c>
      <c r="W40" s="1" t="s">
        <v>62</v>
      </c>
      <c r="X40" s="1" t="s">
        <v>62</v>
      </c>
      <c r="Y40" s="1" t="s">
        <v>680</v>
      </c>
      <c r="Z40" s="1" t="s">
        <v>681</v>
      </c>
      <c r="AA40" s="1" t="s">
        <v>682</v>
      </c>
      <c r="AB40" s="1" t="s">
        <v>683</v>
      </c>
      <c r="AC40" s="1" t="s">
        <v>684</v>
      </c>
      <c r="AD40" s="1"/>
      <c r="AE40" s="1" t="s">
        <v>52</v>
      </c>
      <c r="AF40" s="5">
        <v>46191</v>
      </c>
      <c r="AG40" s="1" t="s">
        <v>61</v>
      </c>
      <c r="AH40" s="1" t="s">
        <v>137</v>
      </c>
      <c r="AI40" s="1" t="s">
        <v>63</v>
      </c>
      <c r="AJ40" s="1"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5" customHeight="1">
      <c r="A41" s="1" t="s">
        <v>685</v>
      </c>
      <c r="B41" s="1" t="s">
        <v>686</v>
      </c>
      <c r="C41" s="1" t="s">
        <v>687</v>
      </c>
      <c r="D41" s="4" t="s">
        <v>688</v>
      </c>
      <c r="E41" s="1" t="s">
        <v>689</v>
      </c>
      <c r="F41" s="1" t="s">
        <v>690</v>
      </c>
      <c r="G41" s="1" t="s">
        <v>691</v>
      </c>
      <c r="H41" s="1" t="s">
        <v>62</v>
      </c>
      <c r="I41" s="1" t="s">
        <v>43</v>
      </c>
      <c r="J41" s="1" t="s">
        <v>692</v>
      </c>
      <c r="K41" s="1" t="s">
        <v>693</v>
      </c>
      <c r="L41" s="1" t="s">
        <v>694</v>
      </c>
      <c r="M41" s="1" t="s">
        <v>695</v>
      </c>
      <c r="N41" s="1" t="s">
        <v>695</v>
      </c>
      <c r="O41" s="1" t="s">
        <v>197</v>
      </c>
      <c r="P41" s="1" t="s">
        <v>49</v>
      </c>
      <c r="Q41" s="1" t="s">
        <v>50</v>
      </c>
      <c r="R41" s="1" t="s">
        <v>51</v>
      </c>
      <c r="S41" s="1" t="s">
        <v>52</v>
      </c>
      <c r="T41" s="1" t="s">
        <v>51</v>
      </c>
      <c r="U41" s="1" t="s">
        <v>696</v>
      </c>
      <c r="V41" s="1" t="s">
        <v>697</v>
      </c>
      <c r="W41" s="1" t="s">
        <v>62</v>
      </c>
      <c r="X41" s="1" t="s">
        <v>62</v>
      </c>
      <c r="Y41" s="1" t="s">
        <v>698</v>
      </c>
      <c r="Z41" s="1" t="s">
        <v>699</v>
      </c>
      <c r="AA41" s="1" t="s">
        <v>700</v>
      </c>
      <c r="AB41" s="1" t="s">
        <v>701</v>
      </c>
      <c r="AC41" s="1" t="s">
        <v>702</v>
      </c>
      <c r="AD41" s="1"/>
      <c r="AE41" s="1" t="s">
        <v>60</v>
      </c>
      <c r="AF41" s="5">
        <v>46191</v>
      </c>
      <c r="AG41" s="1" t="s">
        <v>61</v>
      </c>
      <c r="AH41" s="1" t="s">
        <v>137</v>
      </c>
      <c r="AI41" s="1" t="s">
        <v>63</v>
      </c>
      <c r="AJ41" s="1"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5" customHeight="1">
      <c r="A42" s="1" t="s">
        <v>703</v>
      </c>
      <c r="B42" s="1" t="s">
        <v>704</v>
      </c>
      <c r="C42" s="1" t="s">
        <v>705</v>
      </c>
      <c r="D42" s="4" t="s">
        <v>706</v>
      </c>
      <c r="E42" s="1" t="s">
        <v>707</v>
      </c>
      <c r="F42" s="1" t="s">
        <v>708</v>
      </c>
      <c r="G42" s="1" t="s">
        <v>708</v>
      </c>
      <c r="H42" s="1" t="s">
        <v>42</v>
      </c>
      <c r="I42" s="1" t="s">
        <v>43</v>
      </c>
      <c r="J42" s="1" t="s">
        <v>709</v>
      </c>
      <c r="K42" s="1" t="s">
        <v>710</v>
      </c>
      <c r="L42" s="1" t="s">
        <v>43</v>
      </c>
      <c r="M42" s="1" t="s">
        <v>711</v>
      </c>
      <c r="N42" s="1" t="s">
        <v>712</v>
      </c>
      <c r="O42" s="1" t="s">
        <v>48</v>
      </c>
      <c r="P42" s="1" t="s">
        <v>713</v>
      </c>
      <c r="Q42" s="1" t="s">
        <v>50</v>
      </c>
      <c r="R42" s="1" t="s">
        <v>51</v>
      </c>
      <c r="S42" s="1" t="s">
        <v>52</v>
      </c>
      <c r="T42" s="1" t="s">
        <v>51</v>
      </c>
      <c r="U42" s="1" t="s">
        <v>714</v>
      </c>
      <c r="V42" s="1" t="s">
        <v>715</v>
      </c>
      <c r="W42" s="1" t="s">
        <v>42</v>
      </c>
      <c r="X42" s="1" t="s">
        <v>42</v>
      </c>
      <c r="Y42" s="1" t="s">
        <v>716</v>
      </c>
      <c r="Z42" s="1" t="s">
        <v>717</v>
      </c>
      <c r="AA42" s="1" t="s">
        <v>718</v>
      </c>
      <c r="AB42" s="1" t="s">
        <v>719</v>
      </c>
      <c r="AC42" s="1" t="s">
        <v>720</v>
      </c>
      <c r="AD42" s="1"/>
      <c r="AE42" s="1" t="s">
        <v>60</v>
      </c>
      <c r="AF42" s="5">
        <v>46191</v>
      </c>
      <c r="AG42" s="1" t="s">
        <v>61</v>
      </c>
      <c r="AH42" s="1" t="s">
        <v>62</v>
      </c>
      <c r="AI42" s="1" t="s">
        <v>63</v>
      </c>
      <c r="AJ42" s="1"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5" customHeight="1">
      <c r="A43" s="1" t="s">
        <v>721</v>
      </c>
      <c r="B43" s="1" t="s">
        <v>722</v>
      </c>
      <c r="C43" s="1" t="s">
        <v>723</v>
      </c>
      <c r="D43" s="4" t="s">
        <v>724</v>
      </c>
      <c r="E43" s="1" t="s">
        <v>725</v>
      </c>
      <c r="F43" s="1" t="s">
        <v>224</v>
      </c>
      <c r="G43" s="1" t="s">
        <v>224</v>
      </c>
      <c r="H43" s="1" t="s">
        <v>137</v>
      </c>
      <c r="I43" s="1" t="s">
        <v>692</v>
      </c>
      <c r="J43" s="1" t="s">
        <v>726</v>
      </c>
      <c r="K43" s="1" t="s">
        <v>727</v>
      </c>
      <c r="L43" s="1" t="s">
        <v>728</v>
      </c>
      <c r="M43" s="1" t="s">
        <v>729</v>
      </c>
      <c r="N43" s="1" t="s">
        <v>730</v>
      </c>
      <c r="O43" s="1" t="s">
        <v>48</v>
      </c>
      <c r="P43" s="1" t="s">
        <v>49</v>
      </c>
      <c r="Q43" s="1" t="s">
        <v>75</v>
      </c>
      <c r="R43" s="1" t="s">
        <v>51</v>
      </c>
      <c r="S43" s="1" t="s">
        <v>51</v>
      </c>
      <c r="T43" s="1" t="s">
        <v>51</v>
      </c>
      <c r="U43" s="1" t="s">
        <v>731</v>
      </c>
      <c r="V43" s="1" t="s">
        <v>732</v>
      </c>
      <c r="W43" s="1" t="s">
        <v>137</v>
      </c>
      <c r="X43" s="1" t="s">
        <v>137</v>
      </c>
      <c r="Y43" s="1" t="s">
        <v>733</v>
      </c>
      <c r="Z43" s="1" t="s">
        <v>734</v>
      </c>
      <c r="AA43" s="1" t="s">
        <v>735</v>
      </c>
      <c r="AB43" s="1" t="s">
        <v>736</v>
      </c>
      <c r="AC43" s="1" t="s">
        <v>737</v>
      </c>
      <c r="AD43" s="1"/>
      <c r="AE43" s="1" t="s">
        <v>52</v>
      </c>
      <c r="AF43" s="5">
        <v>46191</v>
      </c>
      <c r="AG43" s="1" t="s">
        <v>61</v>
      </c>
      <c r="AH43" s="1" t="s">
        <v>137</v>
      </c>
      <c r="AI43" s="1" t="s">
        <v>63</v>
      </c>
      <c r="AJ43" s="1"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1" t="s">
        <v>738</v>
      </c>
      <c r="B44" s="1" t="s">
        <v>739</v>
      </c>
      <c r="C44" s="1" t="s">
        <v>740</v>
      </c>
      <c r="D44" s="1" t="s">
        <v>741</v>
      </c>
      <c r="E44" s="1" t="s">
        <v>742</v>
      </c>
      <c r="F44" s="1" t="s">
        <v>224</v>
      </c>
      <c r="G44" s="1" t="s">
        <v>224</v>
      </c>
      <c r="H44" s="1" t="s">
        <v>137</v>
      </c>
      <c r="I44" s="1" t="s">
        <v>123</v>
      </c>
      <c r="J44" s="1" t="s">
        <v>743</v>
      </c>
      <c r="K44" s="1" t="s">
        <v>744</v>
      </c>
      <c r="L44" s="1" t="s">
        <v>745</v>
      </c>
      <c r="M44" s="1" t="s">
        <v>746</v>
      </c>
      <c r="N44" s="1" t="s">
        <v>747</v>
      </c>
      <c r="O44" s="1" t="s">
        <v>197</v>
      </c>
      <c r="P44" s="1" t="s">
        <v>748</v>
      </c>
      <c r="Q44" s="1" t="s">
        <v>749</v>
      </c>
      <c r="R44" s="1" t="s">
        <v>52</v>
      </c>
      <c r="S44" s="1" t="s">
        <v>51</v>
      </c>
      <c r="T44" s="1" t="s">
        <v>52</v>
      </c>
      <c r="U44" s="1" t="s">
        <v>750</v>
      </c>
      <c r="V44" s="1" t="s">
        <v>751</v>
      </c>
      <c r="W44" s="1" t="s">
        <v>62</v>
      </c>
      <c r="X44" s="1" t="s">
        <v>137</v>
      </c>
      <c r="Y44" s="1" t="s">
        <v>752</v>
      </c>
      <c r="Z44" s="1" t="s">
        <v>753</v>
      </c>
      <c r="AA44" s="1" t="s">
        <v>754</v>
      </c>
      <c r="AB44" s="1" t="s">
        <v>755</v>
      </c>
      <c r="AC44" s="1" t="s">
        <v>756</v>
      </c>
      <c r="AD44" s="1"/>
      <c r="AE44" s="1" t="s">
        <v>52</v>
      </c>
      <c r="AF44" s="5">
        <v>46191</v>
      </c>
      <c r="AG44" s="1" t="s">
        <v>117</v>
      </c>
      <c r="AH44" s="1" t="s">
        <v>137</v>
      </c>
      <c r="AI44" s="1" t="s">
        <v>63</v>
      </c>
      <c r="AJ44" s="1"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1" t="s">
        <v>757</v>
      </c>
      <c r="B45" s="1" t="s">
        <v>758</v>
      </c>
      <c r="C45" s="1" t="s">
        <v>759</v>
      </c>
      <c r="D45" s="4" t="s">
        <v>760</v>
      </c>
      <c r="E45" s="1" t="s">
        <v>761</v>
      </c>
      <c r="F45" s="1" t="s">
        <v>224</v>
      </c>
      <c r="G45" s="1" t="s">
        <v>224</v>
      </c>
      <c r="H45" s="1" t="s">
        <v>137</v>
      </c>
      <c r="I45" s="1" t="s">
        <v>49</v>
      </c>
      <c r="J45" s="1" t="s">
        <v>762</v>
      </c>
      <c r="K45" s="1" t="s">
        <v>763</v>
      </c>
      <c r="L45" s="1" t="s">
        <v>92</v>
      </c>
      <c r="M45" s="1" t="s">
        <v>764</v>
      </c>
      <c r="N45" s="1" t="s">
        <v>765</v>
      </c>
      <c r="O45" s="1" t="s">
        <v>48</v>
      </c>
      <c r="P45" s="1" t="s">
        <v>49</v>
      </c>
      <c r="Q45" s="1" t="s">
        <v>49</v>
      </c>
      <c r="R45" s="1" t="s">
        <v>51</v>
      </c>
      <c r="S45" s="1" t="s">
        <v>129</v>
      </c>
      <c r="T45" s="1" t="s">
        <v>52</v>
      </c>
      <c r="U45" s="1" t="s">
        <v>214</v>
      </c>
      <c r="V45" s="1" t="s">
        <v>766</v>
      </c>
      <c r="W45" s="1" t="s">
        <v>129</v>
      </c>
      <c r="X45" s="1" t="s">
        <v>137</v>
      </c>
      <c r="Y45" s="1" t="s">
        <v>767</v>
      </c>
      <c r="Z45" s="1" t="s">
        <v>768</v>
      </c>
      <c r="AA45" s="1" t="s">
        <v>769</v>
      </c>
      <c r="AB45" s="1" t="s">
        <v>770</v>
      </c>
      <c r="AC45" s="1" t="s">
        <v>771</v>
      </c>
      <c r="AD45" s="1"/>
      <c r="AE45" s="1" t="s">
        <v>52</v>
      </c>
      <c r="AF45" s="5">
        <v>46191</v>
      </c>
      <c r="AG45" s="1" t="s">
        <v>117</v>
      </c>
      <c r="AH45" s="1" t="s">
        <v>137</v>
      </c>
      <c r="AI45" s="1" t="s">
        <v>63</v>
      </c>
      <c r="AJ45" s="1"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5" customHeight="1">
      <c r="A46" s="1" t="s">
        <v>772</v>
      </c>
      <c r="B46" s="1" t="s">
        <v>773</v>
      </c>
      <c r="C46" s="1" t="s">
        <v>774</v>
      </c>
      <c r="D46" s="1" t="s">
        <v>775</v>
      </c>
      <c r="E46" s="1" t="s">
        <v>776</v>
      </c>
      <c r="F46" s="1" t="s">
        <v>224</v>
      </c>
      <c r="G46" s="1" t="s">
        <v>224</v>
      </c>
      <c r="H46" s="1" t="s">
        <v>137</v>
      </c>
      <c r="I46" s="1" t="s">
        <v>49</v>
      </c>
      <c r="J46" s="1" t="s">
        <v>777</v>
      </c>
      <c r="K46" s="1" t="s">
        <v>778</v>
      </c>
      <c r="L46" s="1" t="s">
        <v>92</v>
      </c>
      <c r="M46" s="1" t="s">
        <v>779</v>
      </c>
      <c r="N46" s="1" t="s">
        <v>780</v>
      </c>
      <c r="O46" s="1" t="s">
        <v>48</v>
      </c>
      <c r="P46" s="1" t="s">
        <v>259</v>
      </c>
      <c r="Q46" s="1" t="s">
        <v>75</v>
      </c>
      <c r="R46" s="1" t="s">
        <v>51</v>
      </c>
      <c r="S46" s="1" t="s">
        <v>51</v>
      </c>
      <c r="T46" s="1" t="s">
        <v>52</v>
      </c>
      <c r="U46" s="1" t="s">
        <v>781</v>
      </c>
      <c r="V46" s="1" t="s">
        <v>782</v>
      </c>
      <c r="W46" s="1" t="s">
        <v>62</v>
      </c>
      <c r="X46" s="1" t="s">
        <v>62</v>
      </c>
      <c r="Y46" s="1" t="s">
        <v>783</v>
      </c>
      <c r="Z46" s="1" t="s">
        <v>784</v>
      </c>
      <c r="AA46" s="1" t="s">
        <v>785</v>
      </c>
      <c r="AB46" s="1" t="s">
        <v>786</v>
      </c>
      <c r="AC46" s="1" t="s">
        <v>787</v>
      </c>
      <c r="AD46" s="1"/>
      <c r="AE46" s="1" t="s">
        <v>52</v>
      </c>
      <c r="AF46" s="5">
        <v>46191</v>
      </c>
      <c r="AG46" s="1" t="s">
        <v>117</v>
      </c>
      <c r="AH46" s="1" t="s">
        <v>137</v>
      </c>
      <c r="AI46" s="1" t="s">
        <v>63</v>
      </c>
      <c r="AJ46" s="1"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5" customHeight="1">
      <c r="A47" s="1" t="s">
        <v>788</v>
      </c>
      <c r="B47" s="1" t="s">
        <v>789</v>
      </c>
      <c r="C47" s="1" t="s">
        <v>790</v>
      </c>
      <c r="D47" s="1" t="s">
        <v>791</v>
      </c>
      <c r="E47" s="1" t="s">
        <v>792</v>
      </c>
      <c r="F47" s="1" t="s">
        <v>224</v>
      </c>
      <c r="G47" s="1" t="s">
        <v>224</v>
      </c>
      <c r="H47" s="1" t="s">
        <v>137</v>
      </c>
      <c r="I47" s="1" t="s">
        <v>49</v>
      </c>
      <c r="J47" s="1" t="s">
        <v>793</v>
      </c>
      <c r="K47" s="1" t="s">
        <v>794</v>
      </c>
      <c r="L47" s="1" t="s">
        <v>795</v>
      </c>
      <c r="M47" s="1" t="s">
        <v>796</v>
      </c>
      <c r="N47" s="1" t="s">
        <v>797</v>
      </c>
      <c r="O47" s="1" t="s">
        <v>48</v>
      </c>
      <c r="P47" s="1" t="s">
        <v>326</v>
      </c>
      <c r="Q47" s="1" t="s">
        <v>293</v>
      </c>
      <c r="R47" s="1" t="s">
        <v>52</v>
      </c>
      <c r="S47" s="1" t="s">
        <v>51</v>
      </c>
      <c r="T47" s="1" t="s">
        <v>52</v>
      </c>
      <c r="U47" s="1" t="s">
        <v>798</v>
      </c>
      <c r="V47" s="1" t="s">
        <v>799</v>
      </c>
      <c r="W47" s="1" t="s">
        <v>42</v>
      </c>
      <c r="X47" s="1" t="s">
        <v>42</v>
      </c>
      <c r="Y47" s="1" t="s">
        <v>800</v>
      </c>
      <c r="Z47" s="1" t="s">
        <v>801</v>
      </c>
      <c r="AA47" s="1" t="s">
        <v>802</v>
      </c>
      <c r="AB47" s="1" t="s">
        <v>803</v>
      </c>
      <c r="AC47" s="1" t="s">
        <v>804</v>
      </c>
      <c r="AD47" s="1"/>
      <c r="AE47" s="1" t="s">
        <v>51</v>
      </c>
      <c r="AF47" s="5">
        <v>46192</v>
      </c>
      <c r="AG47" s="1" t="s">
        <v>117</v>
      </c>
      <c r="AH47" s="1" t="s">
        <v>42</v>
      </c>
      <c r="AI47" s="1" t="s">
        <v>63</v>
      </c>
      <c r="AJ47" s="1" t="str">
        <f t="shared" si="1"/>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5" customHeight="1">
      <c r="A48" s="1" t="s">
        <v>805</v>
      </c>
      <c r="B48" s="1" t="s">
        <v>806</v>
      </c>
      <c r="C48" s="1" t="s">
        <v>807</v>
      </c>
      <c r="D48" s="1" t="s">
        <v>808</v>
      </c>
      <c r="E48" s="1" t="s">
        <v>809</v>
      </c>
      <c r="F48" s="1" t="s">
        <v>224</v>
      </c>
      <c r="G48" s="1" t="s">
        <v>224</v>
      </c>
      <c r="H48" s="1" t="s">
        <v>137</v>
      </c>
      <c r="I48" s="1" t="s">
        <v>810</v>
      </c>
      <c r="J48" s="1" t="s">
        <v>811</v>
      </c>
      <c r="K48" s="1" t="s">
        <v>812</v>
      </c>
      <c r="L48" s="1" t="s">
        <v>795</v>
      </c>
      <c r="M48" s="1" t="s">
        <v>813</v>
      </c>
      <c r="N48" s="1" t="s">
        <v>814</v>
      </c>
      <c r="O48" s="1" t="s">
        <v>48</v>
      </c>
      <c r="P48" s="3" t="s">
        <v>815</v>
      </c>
      <c r="Q48" s="1" t="s">
        <v>815</v>
      </c>
      <c r="R48" s="1" t="s">
        <v>52</v>
      </c>
      <c r="S48" s="1" t="s">
        <v>51</v>
      </c>
      <c r="T48" s="1" t="s">
        <v>52</v>
      </c>
      <c r="U48" s="1" t="s">
        <v>816</v>
      </c>
      <c r="V48" s="1" t="s">
        <v>816</v>
      </c>
      <c r="W48" s="1" t="s">
        <v>42</v>
      </c>
      <c r="X48" s="1" t="s">
        <v>42</v>
      </c>
      <c r="Y48" s="1" t="s">
        <v>817</v>
      </c>
      <c r="Z48" s="1" t="s">
        <v>818</v>
      </c>
      <c r="AA48" s="1" t="s">
        <v>819</v>
      </c>
      <c r="AB48" s="1" t="s">
        <v>820</v>
      </c>
      <c r="AC48" s="1" t="s">
        <v>821</v>
      </c>
      <c r="AD48" s="1"/>
      <c r="AE48" s="1" t="s">
        <v>60</v>
      </c>
      <c r="AF48" s="5">
        <v>46191</v>
      </c>
      <c r="AG48" s="1" t="s">
        <v>117</v>
      </c>
      <c r="AH48" s="1" t="s">
        <v>62</v>
      </c>
      <c r="AI48" s="1" t="s">
        <v>63</v>
      </c>
      <c r="AJ48" s="1"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5" customHeight="1">
      <c r="A49" s="1" t="s">
        <v>822</v>
      </c>
      <c r="B49" s="1" t="s">
        <v>823</v>
      </c>
      <c r="C49" s="1" t="s">
        <v>824</v>
      </c>
      <c r="D49" s="4" t="s">
        <v>825</v>
      </c>
      <c r="E49" s="1" t="s">
        <v>826</v>
      </c>
      <c r="F49" s="1" t="s">
        <v>224</v>
      </c>
      <c r="G49" s="1" t="s">
        <v>224</v>
      </c>
      <c r="H49" s="1" t="s">
        <v>137</v>
      </c>
      <c r="I49" s="1" t="s">
        <v>810</v>
      </c>
      <c r="J49" s="1" t="s">
        <v>827</v>
      </c>
      <c r="K49" s="1" t="s">
        <v>828</v>
      </c>
      <c r="L49" s="1" t="s">
        <v>795</v>
      </c>
      <c r="M49" s="1" t="s">
        <v>829</v>
      </c>
      <c r="N49" s="1" t="s">
        <v>830</v>
      </c>
      <c r="O49" s="1" t="s">
        <v>48</v>
      </c>
      <c r="P49" s="1" t="s">
        <v>49</v>
      </c>
      <c r="Q49" s="1" t="s">
        <v>49</v>
      </c>
      <c r="R49" s="1" t="s">
        <v>52</v>
      </c>
      <c r="S49" s="1" t="s">
        <v>51</v>
      </c>
      <c r="T49" s="1" t="s">
        <v>51</v>
      </c>
      <c r="U49" s="1" t="s">
        <v>245</v>
      </c>
      <c r="V49" s="1" t="s">
        <v>697</v>
      </c>
      <c r="W49" s="1" t="s">
        <v>62</v>
      </c>
      <c r="X49" s="1" t="s">
        <v>42</v>
      </c>
      <c r="Y49" s="1" t="s">
        <v>831</v>
      </c>
      <c r="Z49" s="1" t="s">
        <v>832</v>
      </c>
      <c r="AA49" s="1" t="s">
        <v>833</v>
      </c>
      <c r="AB49" s="1" t="s">
        <v>834</v>
      </c>
      <c r="AC49" s="1" t="s">
        <v>835</v>
      </c>
      <c r="AD49" s="1"/>
      <c r="AE49" s="1" t="s">
        <v>52</v>
      </c>
      <c r="AF49" s="5">
        <v>46192</v>
      </c>
      <c r="AG49" s="1" t="s">
        <v>61</v>
      </c>
      <c r="AH49" s="1" t="s">
        <v>62</v>
      </c>
      <c r="AI49" s="1" t="s">
        <v>63</v>
      </c>
      <c r="AJ49" s="1"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5" customHeight="1">
      <c r="A50" s="1" t="s">
        <v>836</v>
      </c>
      <c r="B50" s="1" t="s">
        <v>837</v>
      </c>
      <c r="C50" s="1" t="s">
        <v>838</v>
      </c>
      <c r="D50" s="4" t="s">
        <v>839</v>
      </c>
      <c r="E50" s="1" t="s">
        <v>840</v>
      </c>
      <c r="F50" s="1" t="s">
        <v>224</v>
      </c>
      <c r="G50" s="1" t="s">
        <v>224</v>
      </c>
      <c r="H50" s="1" t="s">
        <v>137</v>
      </c>
      <c r="I50" s="1" t="s">
        <v>841</v>
      </c>
      <c r="J50" s="1" t="s">
        <v>842</v>
      </c>
      <c r="K50" s="1" t="s">
        <v>843</v>
      </c>
      <c r="L50" s="1" t="s">
        <v>323</v>
      </c>
      <c r="M50" s="1" t="s">
        <v>844</v>
      </c>
      <c r="N50" s="1" t="s">
        <v>845</v>
      </c>
      <c r="O50" s="1" t="s">
        <v>48</v>
      </c>
      <c r="P50" s="1" t="s">
        <v>293</v>
      </c>
      <c r="Q50" s="1" t="s">
        <v>293</v>
      </c>
      <c r="R50" s="1" t="s">
        <v>52</v>
      </c>
      <c r="S50" s="1" t="s">
        <v>51</v>
      </c>
      <c r="T50" s="1" t="s">
        <v>51</v>
      </c>
      <c r="U50" s="1" t="s">
        <v>846</v>
      </c>
      <c r="V50" s="1" t="s">
        <v>847</v>
      </c>
      <c r="W50" s="1" t="s">
        <v>62</v>
      </c>
      <c r="X50" s="1" t="s">
        <v>42</v>
      </c>
      <c r="Y50" s="1" t="s">
        <v>848</v>
      </c>
      <c r="Z50" s="1" t="s">
        <v>849</v>
      </c>
      <c r="AA50" s="1" t="s">
        <v>850</v>
      </c>
      <c r="AB50" s="1" t="s">
        <v>851</v>
      </c>
      <c r="AC50" s="1" t="s">
        <v>852</v>
      </c>
      <c r="AD50" s="1"/>
      <c r="AE50" s="1" t="s">
        <v>51</v>
      </c>
      <c r="AF50" s="5">
        <v>46192</v>
      </c>
      <c r="AG50" s="1" t="s">
        <v>61</v>
      </c>
      <c r="AH50" s="1" t="s">
        <v>42</v>
      </c>
      <c r="AI50" s="1" t="s">
        <v>63</v>
      </c>
      <c r="AJ50" s="1"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5" customHeight="1">
      <c r="A51" s="1" t="s">
        <v>853</v>
      </c>
      <c r="B51" s="1" t="s">
        <v>854</v>
      </c>
      <c r="C51" s="1" t="s">
        <v>855</v>
      </c>
      <c r="D51" s="4" t="s">
        <v>856</v>
      </c>
      <c r="E51" s="1" t="s">
        <v>857</v>
      </c>
      <c r="F51" s="1" t="s">
        <v>224</v>
      </c>
      <c r="G51" s="1" t="s">
        <v>224</v>
      </c>
      <c r="H51" s="1" t="s">
        <v>137</v>
      </c>
      <c r="I51" s="1" t="s">
        <v>858</v>
      </c>
      <c r="J51" s="1" t="s">
        <v>339</v>
      </c>
      <c r="K51" s="1" t="s">
        <v>859</v>
      </c>
      <c r="L51" s="1" t="s">
        <v>323</v>
      </c>
      <c r="M51" s="1" t="s">
        <v>860</v>
      </c>
      <c r="N51" s="1" t="s">
        <v>861</v>
      </c>
      <c r="O51" s="1" t="s">
        <v>48</v>
      </c>
      <c r="P51" s="1" t="s">
        <v>293</v>
      </c>
      <c r="Q51" s="1" t="s">
        <v>293</v>
      </c>
      <c r="R51" s="1" t="s">
        <v>52</v>
      </c>
      <c r="S51" s="1" t="s">
        <v>51</v>
      </c>
      <c r="T51" s="1" t="s">
        <v>52</v>
      </c>
      <c r="U51" s="1" t="s">
        <v>862</v>
      </c>
      <c r="V51" s="1" t="s">
        <v>715</v>
      </c>
      <c r="W51" s="1" t="s">
        <v>62</v>
      </c>
      <c r="X51" s="1" t="s">
        <v>42</v>
      </c>
      <c r="Y51" s="1" t="s">
        <v>863</v>
      </c>
      <c r="Z51" s="1" t="s">
        <v>864</v>
      </c>
      <c r="AA51" s="1" t="s">
        <v>865</v>
      </c>
      <c r="AB51" s="1" t="s">
        <v>866</v>
      </c>
      <c r="AC51" s="1" t="s">
        <v>867</v>
      </c>
      <c r="AD51" s="1"/>
      <c r="AE51" s="1" t="s">
        <v>51</v>
      </c>
      <c r="AF51" s="5">
        <v>46192</v>
      </c>
      <c r="AG51" s="1" t="s">
        <v>61</v>
      </c>
      <c r="AH51" s="1" t="s">
        <v>42</v>
      </c>
      <c r="AI51" s="1" t="s">
        <v>63</v>
      </c>
      <c r="AJ51" s="1" t="str">
        <f t="shared" si="1"/>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5" customHeight="1">
      <c r="A52" s="1" t="s">
        <v>868</v>
      </c>
      <c r="B52" s="1" t="s">
        <v>869</v>
      </c>
      <c r="C52" s="1" t="s">
        <v>870</v>
      </c>
      <c r="D52" s="4" t="s">
        <v>871</v>
      </c>
      <c r="E52" s="1" t="s">
        <v>872</v>
      </c>
      <c r="F52" s="1" t="s">
        <v>224</v>
      </c>
      <c r="G52" s="1" t="s">
        <v>224</v>
      </c>
      <c r="H52" s="1" t="s">
        <v>137</v>
      </c>
      <c r="I52" s="1" t="s">
        <v>873</v>
      </c>
      <c r="J52" s="1" t="s">
        <v>874</v>
      </c>
      <c r="K52" s="1" t="s">
        <v>875</v>
      </c>
      <c r="L52" s="1" t="s">
        <v>92</v>
      </c>
      <c r="M52" s="1" t="s">
        <v>876</v>
      </c>
      <c r="N52" s="1" t="s">
        <v>877</v>
      </c>
      <c r="O52" s="1" t="s">
        <v>197</v>
      </c>
      <c r="P52" s="1" t="s">
        <v>376</v>
      </c>
      <c r="Q52" s="1" t="s">
        <v>376</v>
      </c>
      <c r="R52" s="1" t="s">
        <v>52</v>
      </c>
      <c r="S52" s="1" t="s">
        <v>51</v>
      </c>
      <c r="T52" s="1" t="s">
        <v>51</v>
      </c>
      <c r="U52" s="1" t="s">
        <v>878</v>
      </c>
      <c r="V52" s="1" t="s">
        <v>95</v>
      </c>
      <c r="W52" s="1" t="s">
        <v>137</v>
      </c>
      <c r="X52" s="1" t="s">
        <v>137</v>
      </c>
      <c r="Y52" s="1" t="s">
        <v>879</v>
      </c>
      <c r="Z52" s="1" t="s">
        <v>880</v>
      </c>
      <c r="AA52" s="1" t="s">
        <v>881</v>
      </c>
      <c r="AB52" s="1" t="s">
        <v>882</v>
      </c>
      <c r="AC52" s="1" t="s">
        <v>883</v>
      </c>
      <c r="AD52" s="1"/>
      <c r="AE52" s="1" t="s">
        <v>60</v>
      </c>
      <c r="AF52" s="5">
        <v>46192</v>
      </c>
      <c r="AG52" s="1" t="s">
        <v>61</v>
      </c>
      <c r="AH52" s="1" t="s">
        <v>137</v>
      </c>
      <c r="AI52" s="1" t="s">
        <v>63</v>
      </c>
      <c r="AJ52" s="1"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5" customHeight="1">
      <c r="A53" s="1" t="s">
        <v>884</v>
      </c>
      <c r="B53" s="1" t="s">
        <v>885</v>
      </c>
      <c r="C53" s="1" t="s">
        <v>886</v>
      </c>
      <c r="D53" s="4" t="s">
        <v>887</v>
      </c>
      <c r="E53" s="1" t="s">
        <v>888</v>
      </c>
      <c r="F53" s="1" t="s">
        <v>224</v>
      </c>
      <c r="G53" s="1" t="s">
        <v>224</v>
      </c>
      <c r="H53" s="1" t="s">
        <v>137</v>
      </c>
      <c r="I53" s="1" t="s">
        <v>873</v>
      </c>
      <c r="J53" s="1" t="s">
        <v>889</v>
      </c>
      <c r="K53" s="1" t="s">
        <v>890</v>
      </c>
      <c r="L53" s="1" t="s">
        <v>323</v>
      </c>
      <c r="M53" s="1" t="s">
        <v>891</v>
      </c>
      <c r="N53" s="1" t="s">
        <v>892</v>
      </c>
      <c r="O53" s="1" t="s">
        <v>197</v>
      </c>
      <c r="P53" s="1" t="s">
        <v>376</v>
      </c>
      <c r="Q53" s="1" t="s">
        <v>376</v>
      </c>
      <c r="R53" s="1" t="s">
        <v>52</v>
      </c>
      <c r="S53" s="1" t="s">
        <v>51</v>
      </c>
      <c r="T53" s="1" t="s">
        <v>51</v>
      </c>
      <c r="U53" s="1" t="s">
        <v>893</v>
      </c>
      <c r="V53" s="1" t="s">
        <v>894</v>
      </c>
      <c r="W53" s="1" t="s">
        <v>137</v>
      </c>
      <c r="X53" s="1" t="s">
        <v>137</v>
      </c>
      <c r="Y53" s="1" t="s">
        <v>895</v>
      </c>
      <c r="Z53" s="1" t="s">
        <v>896</v>
      </c>
      <c r="AA53" s="1" t="s">
        <v>897</v>
      </c>
      <c r="AB53" s="1" t="s">
        <v>898</v>
      </c>
      <c r="AC53" s="1" t="s">
        <v>899</v>
      </c>
      <c r="AD53" s="1"/>
      <c r="AE53" s="1" t="s">
        <v>60</v>
      </c>
      <c r="AF53" s="5">
        <v>46192</v>
      </c>
      <c r="AG53" s="1" t="s">
        <v>61</v>
      </c>
      <c r="AH53" s="1" t="s">
        <v>137</v>
      </c>
      <c r="AI53" s="1" t="s">
        <v>63</v>
      </c>
      <c r="AJ53" s="1"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5" customHeight="1">
      <c r="A54" s="1" t="s">
        <v>900</v>
      </c>
      <c r="B54" s="1" t="s">
        <v>901</v>
      </c>
      <c r="C54" s="1" t="s">
        <v>902</v>
      </c>
      <c r="D54" s="4" t="s">
        <v>903</v>
      </c>
      <c r="E54" s="1" t="s">
        <v>904</v>
      </c>
      <c r="F54" s="1" t="s">
        <v>905</v>
      </c>
      <c r="G54" s="1" t="s">
        <v>905</v>
      </c>
      <c r="H54" s="1" t="s">
        <v>137</v>
      </c>
      <c r="I54" s="1" t="s">
        <v>873</v>
      </c>
      <c r="J54" s="1" t="s">
        <v>906</v>
      </c>
      <c r="K54" s="1" t="s">
        <v>907</v>
      </c>
      <c r="L54" s="1" t="s">
        <v>92</v>
      </c>
      <c r="M54" s="1" t="s">
        <v>908</v>
      </c>
      <c r="N54" s="1" t="s">
        <v>909</v>
      </c>
      <c r="O54" s="1" t="s">
        <v>197</v>
      </c>
      <c r="P54" s="1" t="s">
        <v>376</v>
      </c>
      <c r="Q54" s="1" t="s">
        <v>376</v>
      </c>
      <c r="R54" s="1" t="s">
        <v>52</v>
      </c>
      <c r="S54" s="1" t="s">
        <v>51</v>
      </c>
      <c r="T54" s="1" t="s">
        <v>51</v>
      </c>
      <c r="U54" s="1" t="s">
        <v>910</v>
      </c>
      <c r="V54" s="1" t="s">
        <v>95</v>
      </c>
      <c r="W54" s="1" t="s">
        <v>137</v>
      </c>
      <c r="X54" s="1" t="s">
        <v>137</v>
      </c>
      <c r="Y54" s="1" t="s">
        <v>911</v>
      </c>
      <c r="Z54" s="1" t="s">
        <v>912</v>
      </c>
      <c r="AA54" s="1" t="s">
        <v>913</v>
      </c>
      <c r="AB54" s="1" t="s">
        <v>914</v>
      </c>
      <c r="AC54" s="1" t="s">
        <v>915</v>
      </c>
      <c r="AD54" s="1"/>
      <c r="AE54" s="1" t="s">
        <v>60</v>
      </c>
      <c r="AF54" s="5">
        <v>46192</v>
      </c>
      <c r="AG54" s="1" t="s">
        <v>61</v>
      </c>
      <c r="AH54" s="1" t="s">
        <v>137</v>
      </c>
      <c r="AI54" s="1" t="s">
        <v>63</v>
      </c>
      <c r="AJ54" s="1"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5" customHeight="1">
      <c r="A55" s="1" t="s">
        <v>916</v>
      </c>
      <c r="B55" s="1" t="s">
        <v>917</v>
      </c>
      <c r="C55" s="1" t="s">
        <v>918</v>
      </c>
      <c r="D55" s="1" t="s">
        <v>919</v>
      </c>
      <c r="E55" s="1" t="s">
        <v>920</v>
      </c>
      <c r="F55" s="1" t="s">
        <v>224</v>
      </c>
      <c r="G55" s="1" t="s">
        <v>224</v>
      </c>
      <c r="H55" s="1" t="s">
        <v>137</v>
      </c>
      <c r="I55" s="1" t="s">
        <v>402</v>
      </c>
      <c r="J55" s="1" t="s">
        <v>921</v>
      </c>
      <c r="K55" s="1" t="s">
        <v>922</v>
      </c>
      <c r="L55" s="1" t="s">
        <v>290</v>
      </c>
      <c r="M55" s="1" t="s">
        <v>923</v>
      </c>
      <c r="N55" s="1" t="s">
        <v>924</v>
      </c>
      <c r="O55" s="1" t="s">
        <v>197</v>
      </c>
      <c r="P55" s="1" t="s">
        <v>376</v>
      </c>
      <c r="Q55" s="1" t="s">
        <v>376</v>
      </c>
      <c r="R55" s="1" t="s">
        <v>52</v>
      </c>
      <c r="S55" s="1" t="s">
        <v>51</v>
      </c>
      <c r="T55" s="1" t="s">
        <v>52</v>
      </c>
      <c r="U55" s="1" t="s">
        <v>925</v>
      </c>
      <c r="V55" s="1" t="s">
        <v>230</v>
      </c>
      <c r="W55" s="1" t="s">
        <v>62</v>
      </c>
      <c r="X55" s="1" t="s">
        <v>137</v>
      </c>
      <c r="Y55" s="1" t="s">
        <v>926</v>
      </c>
      <c r="Z55" s="1" t="s">
        <v>927</v>
      </c>
      <c r="AA55" s="1" t="s">
        <v>928</v>
      </c>
      <c r="AB55" s="1" t="s">
        <v>929</v>
      </c>
      <c r="AC55" s="1" t="s">
        <v>930</v>
      </c>
      <c r="AD55" s="1"/>
      <c r="AE55" s="1" t="s">
        <v>52</v>
      </c>
      <c r="AF55" s="5">
        <v>46191</v>
      </c>
      <c r="AG55" s="1" t="s">
        <v>117</v>
      </c>
      <c r="AH55" s="1" t="s">
        <v>137</v>
      </c>
      <c r="AI55" s="1" t="s">
        <v>63</v>
      </c>
      <c r="AJ55" s="1"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1" t="s">
        <v>931</v>
      </c>
      <c r="B56" s="1" t="s">
        <v>932</v>
      </c>
      <c r="C56" s="1" t="s">
        <v>933</v>
      </c>
      <c r="D56" s="1" t="s">
        <v>934</v>
      </c>
      <c r="E56" s="1" t="s">
        <v>935</v>
      </c>
      <c r="F56" s="1" t="s">
        <v>936</v>
      </c>
      <c r="G56" s="1" t="s">
        <v>160</v>
      </c>
      <c r="H56" s="1" t="s">
        <v>62</v>
      </c>
      <c r="I56" s="1" t="s">
        <v>937</v>
      </c>
      <c r="J56" s="1" t="s">
        <v>938</v>
      </c>
      <c r="K56" s="1" t="s">
        <v>939</v>
      </c>
      <c r="L56" s="1" t="s">
        <v>290</v>
      </c>
      <c r="M56" s="1" t="s">
        <v>940</v>
      </c>
      <c r="N56" s="1" t="s">
        <v>941</v>
      </c>
      <c r="O56" s="1" t="s">
        <v>942</v>
      </c>
      <c r="P56" s="1" t="s">
        <v>616</v>
      </c>
      <c r="Q56" s="1" t="s">
        <v>294</v>
      </c>
      <c r="R56" s="1" t="s">
        <v>943</v>
      </c>
      <c r="S56" s="1" t="s">
        <v>51</v>
      </c>
      <c r="T56" s="1" t="s">
        <v>51</v>
      </c>
      <c r="U56" s="1" t="s">
        <v>944</v>
      </c>
      <c r="V56" s="1" t="s">
        <v>944</v>
      </c>
      <c r="W56" s="1" t="s">
        <v>62</v>
      </c>
      <c r="X56" s="1" t="s">
        <v>42</v>
      </c>
      <c r="Y56" s="1" t="s">
        <v>945</v>
      </c>
      <c r="Z56" s="1" t="s">
        <v>946</v>
      </c>
      <c r="AA56" s="1" t="s">
        <v>947</v>
      </c>
      <c r="AB56" s="1" t="s">
        <v>948</v>
      </c>
      <c r="AC56" s="1" t="s">
        <v>949</v>
      </c>
      <c r="AD56" s="1"/>
      <c r="AE56" s="1" t="s">
        <v>51</v>
      </c>
      <c r="AF56" s="5">
        <v>46190</v>
      </c>
      <c r="AG56" s="1" t="s">
        <v>117</v>
      </c>
      <c r="AH56" s="1" t="s">
        <v>42</v>
      </c>
      <c r="AI56" s="1" t="s">
        <v>63</v>
      </c>
      <c r="AJ56" s="1"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5" customHeight="1">
      <c r="A57" s="1" t="s">
        <v>950</v>
      </c>
      <c r="B57" s="1" t="s">
        <v>951</v>
      </c>
      <c r="C57" s="1" t="s">
        <v>952</v>
      </c>
      <c r="D57" s="1" t="s">
        <v>953</v>
      </c>
      <c r="E57" s="1" t="s">
        <v>954</v>
      </c>
      <c r="F57" s="1" t="s">
        <v>224</v>
      </c>
      <c r="G57" s="1" t="s">
        <v>455</v>
      </c>
      <c r="H57" s="1" t="s">
        <v>137</v>
      </c>
      <c r="I57" s="1" t="s">
        <v>937</v>
      </c>
      <c r="J57" s="1" t="s">
        <v>955</v>
      </c>
      <c r="K57" s="1" t="s">
        <v>956</v>
      </c>
      <c r="L57" s="1" t="s">
        <v>290</v>
      </c>
      <c r="M57" s="1" t="s">
        <v>957</v>
      </c>
      <c r="N57" s="1" t="s">
        <v>958</v>
      </c>
      <c r="O57" s="1" t="s">
        <v>942</v>
      </c>
      <c r="P57" s="1" t="s">
        <v>600</v>
      </c>
      <c r="Q57" s="1" t="s">
        <v>600</v>
      </c>
      <c r="R57" s="1" t="s">
        <v>52</v>
      </c>
      <c r="S57" s="1" t="s">
        <v>51</v>
      </c>
      <c r="T57" s="1" t="s">
        <v>52</v>
      </c>
      <c r="U57" s="1" t="s">
        <v>959</v>
      </c>
      <c r="V57" s="1" t="s">
        <v>310</v>
      </c>
      <c r="W57" s="1" t="s">
        <v>62</v>
      </c>
      <c r="X57" s="1" t="s">
        <v>42</v>
      </c>
      <c r="Y57" s="1" t="s">
        <v>960</v>
      </c>
      <c r="Z57" s="1" t="s">
        <v>961</v>
      </c>
      <c r="AA57" s="1" t="s">
        <v>962</v>
      </c>
      <c r="AB57" s="1" t="s">
        <v>963</v>
      </c>
      <c r="AC57" s="1" t="s">
        <v>964</v>
      </c>
      <c r="AD57" s="1"/>
      <c r="AE57" s="1" t="s">
        <v>51</v>
      </c>
      <c r="AF57" s="5">
        <v>46190</v>
      </c>
      <c r="AG57" s="1" t="s">
        <v>117</v>
      </c>
      <c r="AH57" s="1" t="s">
        <v>42</v>
      </c>
      <c r="AI57" s="1" t="s">
        <v>63</v>
      </c>
      <c r="AJ57" s="1"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5" customHeight="1">
      <c r="A58" s="1" t="s">
        <v>965</v>
      </c>
      <c r="B58" s="1" t="s">
        <v>966</v>
      </c>
      <c r="C58" s="1" t="s">
        <v>967</v>
      </c>
      <c r="D58" s="1" t="s">
        <v>968</v>
      </c>
      <c r="E58" s="1" t="s">
        <v>969</v>
      </c>
      <c r="F58" s="1" t="s">
        <v>224</v>
      </c>
      <c r="G58" s="1" t="s">
        <v>455</v>
      </c>
      <c r="H58" s="1" t="s">
        <v>42</v>
      </c>
      <c r="I58" s="1" t="s">
        <v>436</v>
      </c>
      <c r="J58" s="1" t="s">
        <v>970</v>
      </c>
      <c r="K58" s="1" t="s">
        <v>971</v>
      </c>
      <c r="L58" s="1" t="s">
        <v>290</v>
      </c>
      <c r="M58" s="1" t="s">
        <v>972</v>
      </c>
      <c r="N58" s="1" t="s">
        <v>973</v>
      </c>
      <c r="O58" s="1" t="s">
        <v>942</v>
      </c>
      <c r="P58" s="1" t="s">
        <v>259</v>
      </c>
      <c r="Q58" s="1" t="s">
        <v>294</v>
      </c>
      <c r="R58" s="1" t="s">
        <v>974</v>
      </c>
      <c r="S58" s="1" t="s">
        <v>51</v>
      </c>
      <c r="T58" s="1" t="s">
        <v>129</v>
      </c>
      <c r="U58" s="1" t="s">
        <v>975</v>
      </c>
      <c r="V58" s="1" t="s">
        <v>976</v>
      </c>
      <c r="W58" s="1" t="s">
        <v>137</v>
      </c>
      <c r="X58" s="1" t="s">
        <v>42</v>
      </c>
      <c r="Y58" s="1" t="s">
        <v>977</v>
      </c>
      <c r="Z58" s="1" t="s">
        <v>978</v>
      </c>
      <c r="AA58" s="1" t="s">
        <v>979</v>
      </c>
      <c r="AB58" s="1"/>
      <c r="AC58" s="1" t="s">
        <v>980</v>
      </c>
      <c r="AD58" s="1" t="s">
        <v>981</v>
      </c>
      <c r="AE58" s="1" t="s">
        <v>52</v>
      </c>
      <c r="AF58" s="5">
        <v>46190</v>
      </c>
      <c r="AG58" s="1" t="s">
        <v>117</v>
      </c>
      <c r="AH58" s="1" t="s">
        <v>137</v>
      </c>
      <c r="AI58" s="1" t="s">
        <v>982</v>
      </c>
      <c r="AJ58" s="1"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134.25" customHeight="1">
      <c r="A59" s="1" t="s">
        <v>983</v>
      </c>
      <c r="B59" s="1" t="s">
        <v>984</v>
      </c>
      <c r="C59" s="1" t="s">
        <v>985</v>
      </c>
      <c r="D59" s="1" t="s">
        <v>986</v>
      </c>
      <c r="E59" s="1" t="s">
        <v>987</v>
      </c>
      <c r="F59" s="1" t="s">
        <v>224</v>
      </c>
      <c r="G59" s="1" t="s">
        <v>129</v>
      </c>
      <c r="H59" s="1" t="s">
        <v>42</v>
      </c>
      <c r="I59" s="1" t="s">
        <v>436</v>
      </c>
      <c r="J59" s="1" t="s">
        <v>988</v>
      </c>
      <c r="K59" s="1" t="s">
        <v>989</v>
      </c>
      <c r="L59" s="1" t="s">
        <v>49</v>
      </c>
      <c r="M59" s="1" t="s">
        <v>990</v>
      </c>
      <c r="N59" s="1" t="s">
        <v>991</v>
      </c>
      <c r="O59" s="1" t="s">
        <v>942</v>
      </c>
      <c r="P59" s="1" t="s">
        <v>815</v>
      </c>
      <c r="Q59" s="1" t="s">
        <v>815</v>
      </c>
      <c r="R59" s="1" t="s">
        <v>52</v>
      </c>
      <c r="S59" s="1" t="s">
        <v>51</v>
      </c>
      <c r="T59" s="1" t="s">
        <v>129</v>
      </c>
      <c r="U59" s="1" t="s">
        <v>992</v>
      </c>
      <c r="V59" s="1" t="s">
        <v>993</v>
      </c>
      <c r="W59" s="1" t="s">
        <v>129</v>
      </c>
      <c r="X59" s="1" t="s">
        <v>42</v>
      </c>
      <c r="Y59" s="1" t="s">
        <v>994</v>
      </c>
      <c r="Z59" s="7" t="s">
        <v>995</v>
      </c>
      <c r="AA59" s="1" t="s">
        <v>996</v>
      </c>
      <c r="AB59" s="1" t="s">
        <v>997</v>
      </c>
      <c r="AC59" s="1" t="s">
        <v>998</v>
      </c>
      <c r="AD59" s="1"/>
      <c r="AE59" s="1" t="s">
        <v>52</v>
      </c>
      <c r="AF59" s="5">
        <v>46190</v>
      </c>
      <c r="AG59" s="1" t="s">
        <v>117</v>
      </c>
      <c r="AH59" s="1" t="s">
        <v>137</v>
      </c>
      <c r="AI59" s="1" t="s">
        <v>982</v>
      </c>
      <c r="AJ59" s="1"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ht="28.5" customHeight="1">
      <c r="A60" s="1" t="s">
        <v>999</v>
      </c>
      <c r="B60" s="9" t="s">
        <v>1000</v>
      </c>
      <c r="C60" s="1"/>
      <c r="D60" s="1" t="s">
        <v>1001</v>
      </c>
      <c r="E60" s="1"/>
      <c r="F60" s="1" t="s">
        <v>224</v>
      </c>
      <c r="G60" s="1"/>
      <c r="H60" s="1"/>
      <c r="I60" s="1"/>
      <c r="J60" s="1"/>
      <c r="K60" s="1"/>
      <c r="L60" s="1"/>
      <c r="M60" s="1"/>
      <c r="N60" s="1"/>
      <c r="O60" s="1"/>
      <c r="P60" s="1"/>
      <c r="Q60" s="1"/>
      <c r="R60" s="1"/>
      <c r="S60" s="1"/>
      <c r="T60" s="1"/>
      <c r="U60" s="1"/>
      <c r="V60" s="1"/>
      <c r="W60" s="1"/>
      <c r="X60" s="1"/>
      <c r="Y60" s="1"/>
      <c r="Z60" s="7"/>
      <c r="AA60" s="1"/>
      <c r="AB60" s="1"/>
      <c r="AC60" s="1"/>
      <c r="AD60" s="1"/>
      <c r="AE60" s="1"/>
      <c r="AF60" s="5"/>
      <c r="AG60" s="1"/>
      <c r="AH60" s="1"/>
      <c r="AI60" s="1"/>
      <c r="AJ60" s="1" t="str">
        <f t="shared" si="1"/>
        <v>cdc ephtrackr r package / tracking api open/public</v>
      </c>
    </row>
    <row r="61" spans="1:36" ht="42.75" customHeight="1">
      <c r="A61" s="1" t="s">
        <v>1002</v>
      </c>
      <c r="B61" s="1" t="s">
        <v>1003</v>
      </c>
      <c r="C61" s="14" t="s">
        <v>1637</v>
      </c>
      <c r="D61" s="1" t="s">
        <v>1004</v>
      </c>
      <c r="E61" s="1"/>
      <c r="F61" s="1" t="s">
        <v>224</v>
      </c>
      <c r="G61" s="1"/>
      <c r="H61" s="1"/>
      <c r="I61" s="1"/>
      <c r="J61" s="1"/>
      <c r="K61" s="1"/>
      <c r="L61" s="1"/>
      <c r="M61" s="1"/>
      <c r="N61" s="1"/>
      <c r="O61" s="1"/>
      <c r="P61" s="1"/>
      <c r="Q61" s="1"/>
      <c r="R61" s="1"/>
      <c r="S61" s="1"/>
      <c r="T61" s="1"/>
      <c r="U61" s="1"/>
      <c r="V61" s="1"/>
      <c r="W61" s="1"/>
      <c r="X61" s="1"/>
      <c r="Y61" s="1"/>
      <c r="Z61" s="7"/>
      <c r="AA61" s="1"/>
      <c r="AB61" s="1"/>
      <c r="AC61" s="1"/>
      <c r="AD61" s="1"/>
      <c r="AE61" s="1"/>
      <c r="AF61" s="5"/>
      <c r="AG61" s="1"/>
      <c r="AH61" s="1"/>
      <c r="AI61" s="1"/>
      <c r="AJ61" s="1" t="str">
        <f t="shared" si="1"/>
        <v>daily census tract-level pm2.5 concentrations, 2016-2020 https://data.cdc.gov/environmental-health-toxicology/daily-census-tract-level-pm2-5-concentrations-2016/96sd-hxdt/about_data open/public</v>
      </c>
    </row>
    <row r="62" spans="1:36" ht="42.75" customHeight="1">
      <c r="A62" s="1" t="s">
        <v>1005</v>
      </c>
      <c r="B62" s="8" t="s">
        <v>1006</v>
      </c>
      <c r="C62" s="3"/>
      <c r="D62" s="4" t="s">
        <v>1007</v>
      </c>
      <c r="E62" s="8" t="s">
        <v>1008</v>
      </c>
      <c r="F62" s="3" t="s">
        <v>224</v>
      </c>
      <c r="G62" s="3"/>
      <c r="H62" s="3"/>
      <c r="I62" s="3"/>
      <c r="J62" s="3"/>
      <c r="K62" s="3"/>
      <c r="L62" s="3"/>
      <c r="M62" s="3"/>
      <c r="N62" s="3"/>
      <c r="O62" s="3"/>
      <c r="Q62" s="3"/>
      <c r="R62" s="3"/>
      <c r="S62" s="3"/>
      <c r="T62" s="3"/>
      <c r="U62" s="1"/>
      <c r="V62" s="3"/>
      <c r="W62" s="3"/>
      <c r="X62" s="3"/>
      <c r="Y62" s="3"/>
      <c r="Z62" s="3"/>
      <c r="AA62" s="3"/>
      <c r="AB62" s="3"/>
      <c r="AC62" s="3"/>
      <c r="AD62" s="3"/>
      <c r="AE62" s="3"/>
      <c r="AF62" s="3"/>
      <c r="AG62" s="3"/>
      <c r="AH62" s="3"/>
      <c r="AI62" s="3"/>
      <c r="AJ62" s="3" t="str">
        <f t="shared" si="1"/>
        <v>epa enviroatlas geospatial environmental, demographic, ecosystem services, land cover, green space, heat, and community indicators. open/public</v>
      </c>
    </row>
    <row r="63" spans="1:36" ht="111" customHeight="1">
      <c r="A63" s="1" t="s">
        <v>1009</v>
      </c>
      <c r="B63" s="9" t="s">
        <v>1010</v>
      </c>
      <c r="C63" s="3" t="s">
        <v>1011</v>
      </c>
      <c r="D63" s="14" t="s">
        <v>1636</v>
      </c>
      <c r="E63" s="9" t="s">
        <v>1012</v>
      </c>
      <c r="F63" s="1" t="s">
        <v>224</v>
      </c>
      <c r="G63" s="3" t="s">
        <v>224</v>
      </c>
      <c r="H63" s="3" t="s">
        <v>137</v>
      </c>
      <c r="I63" s="3" t="s">
        <v>810</v>
      </c>
      <c r="J63" s="1" t="s">
        <v>1013</v>
      </c>
      <c r="K63" s="1" t="s">
        <v>1014</v>
      </c>
      <c r="L63" s="3" t="s">
        <v>795</v>
      </c>
      <c r="M63" s="1" t="s">
        <v>1015</v>
      </c>
      <c r="N63" s="1" t="s">
        <v>1016</v>
      </c>
      <c r="O63" s="3" t="s">
        <v>48</v>
      </c>
      <c r="P63" s="3" t="s">
        <v>293</v>
      </c>
      <c r="Q63" s="3" t="s">
        <v>293</v>
      </c>
      <c r="R63" s="3" t="s">
        <v>52</v>
      </c>
      <c r="S63" s="3" t="s">
        <v>51</v>
      </c>
      <c r="T63" s="3" t="s">
        <v>51</v>
      </c>
      <c r="U63" s="1" t="s">
        <v>1017</v>
      </c>
      <c r="V63" s="1" t="s">
        <v>1018</v>
      </c>
      <c r="W63" s="3" t="s">
        <v>42</v>
      </c>
      <c r="X63" s="3" t="s">
        <v>42</v>
      </c>
      <c r="Y63" s="1" t="s">
        <v>1019</v>
      </c>
      <c r="Z63" s="1" t="s">
        <v>1020</v>
      </c>
      <c r="AA63" s="1" t="s">
        <v>1021</v>
      </c>
      <c r="AB63" s="1" t="s">
        <v>1022</v>
      </c>
      <c r="AC63" s="1" t="s">
        <v>1023</v>
      </c>
      <c r="AD63" s="1"/>
      <c r="AE63" s="3" t="s">
        <v>60</v>
      </c>
      <c r="AF63" s="10">
        <v>46223</v>
      </c>
      <c r="AG63" s="3" t="s">
        <v>117</v>
      </c>
      <c r="AH63" s="3" t="s">
        <v>62</v>
      </c>
      <c r="AI63" s="3" t="s">
        <v>63</v>
      </c>
      <c r="AJ63" s="1" t="str">
        <f t="shared" si="1"/>
        <v>cdc wonder environmental data cdc / github environmental data query system with place, time, and measure dimensions. open/public open/public environmental exposure sdoh/geospatial; climate; air quality; environmental monitoring; area-level data; historical data cdc wonder; environmental data; environmental exposure; climate; air temperature; heat index; extreme heat; heat waves; pm2.5; fine particulate matter; air pollution; land surface temperature; lst; modis; sunlight; solar irradiation; insolation; precipitation; rainfall; nldas; nasa; county-level; environmental health environmental air temperature; heat index; extreme heat; heat waves; pm2.5; outdoor air quality; land surface temperature; sunlight; solar irradiation; precipitation residents of the 48 contiguous united states, represented through county-level environmental exposure measures united states county county high daily air temperature; minimum and maximum temperature; heat index; degree days; pm2.5 concentration; land surface temperature; sunlight/solar irradiation; precipitation; heat-wave days; date; state; county; number of observations; range; standard deviation assess county-level environmental exposures; analyze heat and air-quality trends; examine associations between environmental conditions and health outcomes; identify high-exposure periods or locations; support climate and environmental health research; link county-level exposures with mortality, morbidity, hospitalization, or demographic data cdc wonder mortality and natality data; cdc environmental public health tracking network; epa air quality system/airdata; epa enviroatlas; noaa climate data; u.s. census population estimates; american community survey; cdc/atsdr social vulnerability index historical data only, with coverage ending between 2008 and 2011 depending on the dataset; excludes alaska, hawaii, and most u.s. territories; measures are modeled or geographically aggregated estimates rather than individual exposures; county averages may obscure within-county variation; source resolution and methods differ across datasets; some measures have missing or sparse observations; pm2.5 values above 65 µg/m³ are truncated in the wonder dataset; geographic coding may use older county/fips definitions. public aggregate data for statistical reporting and analysis; users must accept cdc wonder data-use restrictions; do not attempt to identify individuals or link data for re-identification; cite the relevant source dataset and methodology when publishing results.</v>
      </c>
    </row>
    <row r="64" spans="1:36" ht="57" customHeight="1">
      <c r="A64" s="1" t="s">
        <v>1024</v>
      </c>
      <c r="B64" s="8" t="s">
        <v>1025</v>
      </c>
      <c r="C64" s="3" t="s">
        <v>1026</v>
      </c>
      <c r="D64" s="14" t="s">
        <v>1635</v>
      </c>
      <c r="E64" s="1" t="s">
        <v>1027</v>
      </c>
      <c r="F64" s="3" t="s">
        <v>1028</v>
      </c>
      <c r="G64" s="3" t="s">
        <v>224</v>
      </c>
      <c r="H64" s="3" t="s">
        <v>137</v>
      </c>
      <c r="I64" s="3" t="s">
        <v>810</v>
      </c>
      <c r="J64" t="s">
        <v>1029</v>
      </c>
      <c r="K64" t="s">
        <v>1030</v>
      </c>
      <c r="L64" t="s">
        <v>290</v>
      </c>
      <c r="M64" t="s">
        <v>1031</v>
      </c>
      <c r="N64" t="s">
        <v>1032</v>
      </c>
      <c r="O64" s="3" t="s">
        <v>48</v>
      </c>
      <c r="P64" s="3" t="s">
        <v>1033</v>
      </c>
      <c r="Q64" s="3" t="s">
        <v>293</v>
      </c>
      <c r="R64" s="3" t="s">
        <v>52</v>
      </c>
      <c r="S64" s="3" t="s">
        <v>51</v>
      </c>
      <c r="T64" s="3" t="s">
        <v>51</v>
      </c>
      <c r="U64" s="1" t="s">
        <v>1034</v>
      </c>
      <c r="V64" s="3" t="s">
        <v>1035</v>
      </c>
      <c r="W64" s="3" t="s">
        <v>42</v>
      </c>
      <c r="X64" s="3" t="s">
        <v>42</v>
      </c>
      <c r="Y64" s="3" t="s">
        <v>1036</v>
      </c>
      <c r="Z64" s="3" t="s">
        <v>1037</v>
      </c>
      <c r="AA64" s="3" t="s">
        <v>1038</v>
      </c>
      <c r="AB64" s="3" t="s">
        <v>1039</v>
      </c>
      <c r="AC64" s="3" t="s">
        <v>1040</v>
      </c>
      <c r="AD64" s="3"/>
      <c r="AE64" s="3" t="s">
        <v>51</v>
      </c>
      <c r="AF64" s="10">
        <v>46223</v>
      </c>
      <c r="AG64" s="3" t="s">
        <v>117</v>
      </c>
      <c r="AH64" s="3" t="s">
        <v>42</v>
      </c>
      <c r="AI64" s="3" t="s">
        <v>63</v>
      </c>
      <c r="AJ64" s="3" t="str">
        <f t="shared" si="1"/>
        <v>cdc heat and health tracker cdc tracking network interactive dashboard integrating local heat exposure, heat-related health outcomes, community vulnerability, and preparedness information to support extreme-heat surveillance, planning, and response. public interactive dashboard; related tracking network data may also be accessed through maps, tables, quick reports, downloads, and api services. open/public environmental exposure climate; extreme heat; heat-related illness; sdoh/geospatial; emergency preparedness; environmental health surveillance; community vulnerability; area-level data cdc heat and health tracker; extreme heat; heat exposure; heat wave; heatrisk; heat-related illness; hri; heat stress; emergency department visits; hospitalizations; heat-related mortality; temperature; heat index; climate projections; heat vulnerability; community preparedness; cooling resources; county; zip code; nssp; national weather service; heat and health index reports/dashboard extreme heat; heat exposure; temperature; heat index; heatrisk forecasts; heat-related emergency department visits; heat-related hospitalizations; heat-related mortality; heat vulnerability; climate projections; community preparedness residents of the united states, including populations vulnerable to heat-related health effects such as older adults, young children, pregnant people, outdoor workers, athletes, and people with chronic health conditions. united states county/zip code/hhs region, depending on indicator county high daily heat-related illness ed visit rate per 100,000 ed visits; heat-related ed visits; hospitalizations; heat-related deaths; maximum and minimum temperature; heat index; extremely hot days; extreme heat events; heatrisk category; projected daytime and nighttime temperatures; heat and health index; community vulnerability and preparedness measures; county; zip code; hhs region; date monitor current heat-related illness; identify counties and communities at elevated heat risk; compare heat exposure and health outcomes over time; assess vulnerable populations; guide heat action plans and public messaging; prioritize cooling and preparedness resources; examine associations between extreme heat and emergency health-care use; support climate adaptation planning cdc environmental public health tracking network; national syndromic surveillance program; national weather service heatrisk; cdc heat and health index; cdc/atsdr social vulnerability index; noaa climate data; american community survey; cdc wonder mortality data; epa airnow the dashboard combines indicators from multiple sources, geographic levels, time periods, and update schedules. daily heat-related illness ed data are reported by hhs region rather than county and are based on participating national syndromic surveillance program facilities. rates may be affected by changing facility participation, health-care-seeking behavior, coding practices, and incomplete documentation of heat exposure. hospital and mortality data may undercount heat-related outcomes when heat is not recorded as a diagnosis or cause of death. modeled exposure and projection measures are not individual exposure estimates. vulnerability indices are intended for area-level planning and should not be interpreted as individual risk. public aggregate dashboard data. no identifiable patient-level data are displayed. users should follow cdc tracking network terms, cite the specific indicator and originating data source, and avoid interpreting area-level measures as individual-level characteristics. underlying restricted syndromic or health-record data are not directly available through this dashboard.</v>
      </c>
    </row>
    <row r="65" spans="1:36" ht="71.25" customHeight="1">
      <c r="A65" s="1" t="s">
        <v>1041</v>
      </c>
      <c r="B65" s="9" t="s">
        <v>1042</v>
      </c>
      <c r="C65" s="3" t="s">
        <v>284</v>
      </c>
      <c r="D65" s="13" t="s">
        <v>1043</v>
      </c>
      <c r="E65" s="1" t="s">
        <v>1044</v>
      </c>
      <c r="F65" s="3" t="s">
        <v>1045</v>
      </c>
      <c r="G65" s="3" t="s">
        <v>224</v>
      </c>
      <c r="H65" s="3" t="s">
        <v>137</v>
      </c>
      <c r="I65" s="3" t="s">
        <v>339</v>
      </c>
      <c r="J65" s="3" t="s">
        <v>1046</v>
      </c>
      <c r="K65" s="3" t="s">
        <v>1047</v>
      </c>
      <c r="L65" s="3" t="s">
        <v>323</v>
      </c>
      <c r="M65" s="3" t="s">
        <v>1048</v>
      </c>
      <c r="N65" s="3" t="s">
        <v>1049</v>
      </c>
      <c r="O65" s="3" t="s">
        <v>48</v>
      </c>
      <c r="P65" s="3" t="s">
        <v>326</v>
      </c>
      <c r="Q65" s="3" t="s">
        <v>327</v>
      </c>
      <c r="R65" s="3" t="s">
        <v>52</v>
      </c>
      <c r="S65" s="3" t="s">
        <v>51</v>
      </c>
      <c r="T65" s="3" t="s">
        <v>52</v>
      </c>
      <c r="U65" s="1" t="s">
        <v>1050</v>
      </c>
      <c r="V65" s="3" t="s">
        <v>1051</v>
      </c>
      <c r="W65" s="3" t="s">
        <v>42</v>
      </c>
      <c r="X65" s="3" t="s">
        <v>42</v>
      </c>
      <c r="Y65" s="3" t="s">
        <v>1052</v>
      </c>
      <c r="Z65" s="3" t="s">
        <v>1053</v>
      </c>
      <c r="AA65" s="3" t="s">
        <v>1054</v>
      </c>
      <c r="AB65" s="3" t="s">
        <v>1055</v>
      </c>
      <c r="AC65" s="3" t="s">
        <v>1056</v>
      </c>
      <c r="AD65" s="3"/>
      <c r="AE65" s="3" t="s">
        <v>51</v>
      </c>
      <c r="AF65" s="10">
        <v>46223</v>
      </c>
      <c r="AG65" s="3" t="s">
        <v>1057</v>
      </c>
      <c r="AH65" s="3" t="s">
        <v>42</v>
      </c>
      <c r="AI65" s="3" t="s">
        <v>63</v>
      </c>
      <c r="AJ65" s="3" t="str">
        <f t="shared" si="1"/>
        <v>cdc/atsdr environmental justice index (eji) cdc wonder national census-tract-level index for identifying communities experiencing cumulative environmental, social, and health burdens and supporting environmental justice, health equity, resource allocation, and place-based public health research. public interactive map and downloadable census-tract data in csv, excel, and geodatabase formats open/public sdoh/geospatial environmental exposure; health equity; environmental justice; social vulnerability; community vulnerability; climate; built environment; area-level data; health disparities cdc atsdr; environmental justice index; eji; environmental justice; cumulative impacts; cumulative burden; social vulnerability; environmental burden; health vulnerability; health equity; census tract; neighborhood disadvantage; air pollution; transportation barriers; housing; poverty; racial and ethnic minority status; climate burden; community vulnerability; eji ser; social-environmental ranking; hiv disparities; hiv prevention; hiv care; ending the hiv epidemic geospatial/area-level environmental justice; cumulative environmental burden; social vulnerability; health vulnerability; air pollution; potentially hazardous and toxic sites; built environment; transportation infrastructure; water pollution; socioeconomic conditions; housing; health-care access; chronic disease burden; climate hazards; health equity residents of census tracts in the continental united states, represented through community-level environmental, social, health, and climate indicators united states census tract census tract high overall eji percentile rank; social vulnerability module rank; environmental burden module rank; health vulnerability module rank; climate burden module indicators; eji social-environmental ranking; domain ranks; indicator ranks; poverty; unemployment; educational attainment; housing burden; racial and ethnic minority status; lack of health insurance; air pollution; hazardous sites; transportation infrastructure; water pollution; chronic disease prevalence flags; census tract geoid; state; county identify census tracts experiencing high cumulative burden; examine geographic disparities in hiv diagnoses, linkage to care, retention, or viral suppression; characterize neighborhood conditions for people with hiv; prioritize hiv testing, prevention, care, outreach, and mobile services; assess environmental and social context surrounding hiv outcomes; support ending the hiv epidemic planning; identify communities for qualitative engagement; evaluate whether environmental justice burden is associated with health-service access or outcomes cdc national hiv surveillance system; nchhstp atlasplus; aidsvu; cdc social vulnerability index; american community survey; area deprivation index; epa ejscreen; cdc places; hrsa area health resources files; ryan white hiv/aids program data; census tiger/line shapefiles; south carolina hiv surveillance data area-level index that does not measure individual exposure, vulnerability, hiv risk, or hiv status. associations are ecological and should not be interpreted as causal or applied directly to individuals. eji ranks are relative to other census tracts and do not represent absolute risk thresholds. indicator years and source methods vary, and some estimates may have uncertainty or missing values. national percentile rankings may obscure locally important conditions. cdc/atsdr does not recommend aggregating or averaging tract scores to counties because doing so can introduce error and conceal neighborhood variation. avoid using the full eji as an independent variable when studying health outcomes without considering overlap from its health vulnerability module; use the social-environmental ranking when appropriate. public area-level data with no identifiable individual records. researchers linking eji data to geocoded hiv surveillance or clinical records must follow the governance, confidentiality, suppression, irb, and data-use requirements of the hiv dataset. do not publish maps or small-area results that could indirectly disclose individuals with hiv. clearly distinguish tract-level contextual characteristics from individual attributes.</v>
      </c>
    </row>
    <row r="66" spans="1:36" ht="15">
      <c r="A66" s="1" t="s">
        <v>1058</v>
      </c>
      <c r="B66" s="8" t="s">
        <v>1006</v>
      </c>
      <c r="C66" s="3" t="s">
        <v>1059</v>
      </c>
      <c r="D66" s="14" t="s">
        <v>1007</v>
      </c>
      <c r="E66" s="1"/>
      <c r="F66" s="3"/>
      <c r="G66" s="3"/>
      <c r="I66" s="3"/>
      <c r="J66" s="3"/>
      <c r="K66" s="3"/>
      <c r="L66" s="3"/>
      <c r="M66" s="3"/>
      <c r="N66" s="3"/>
      <c r="O66" s="3"/>
      <c r="Q66" s="3"/>
      <c r="R66" s="3"/>
      <c r="S66" s="3"/>
      <c r="T66" s="3"/>
      <c r="U66" s="1"/>
      <c r="V66" s="3"/>
      <c r="W66" s="3"/>
      <c r="X66" s="3"/>
      <c r="Y66" s="3"/>
      <c r="Z66" s="3"/>
      <c r="AA66" s="3"/>
      <c r="AB66" s="3"/>
      <c r="AC66" s="3"/>
      <c r="AD66" s="3"/>
      <c r="AE66" s="3"/>
      <c r="AF66" s="3"/>
      <c r="AG66" s="3"/>
      <c r="AH66" s="3"/>
      <c r="AI66" s="3"/>
      <c r="AJ66" s="3" t="str">
        <f t="shared" ref="AJ66:AJ75" si="2">LOWER(_xlfn.SINGLE(_xlfn.TEXTJOIN(" ", TRUE, B66, C66, E66, F66, G66, I66, J66, K66, L66, M66, N66, O66, P66, Q66, X66, Y66, Z66, AA66, AB66, AC66, AD66)))</f>
        <v>epa enviroatlas cdc</v>
      </c>
    </row>
    <row r="67" spans="1:36" ht="99.75" customHeight="1">
      <c r="A67" s="1" t="s">
        <v>1060</v>
      </c>
      <c r="B67" s="8" t="s">
        <v>1061</v>
      </c>
      <c r="C67" s="3" t="s">
        <v>1062</v>
      </c>
      <c r="D67" s="14" t="s">
        <v>1634</v>
      </c>
      <c r="E67" s="1" t="s">
        <v>1063</v>
      </c>
      <c r="F67" s="3" t="s">
        <v>1064</v>
      </c>
      <c r="G67" s="3" t="s">
        <v>224</v>
      </c>
      <c r="H67" s="3" t="s">
        <v>137</v>
      </c>
      <c r="I67" s="3" t="s">
        <v>810</v>
      </c>
      <c r="J67" s="3" t="s">
        <v>1065</v>
      </c>
      <c r="K67" s="3" t="s">
        <v>1066</v>
      </c>
      <c r="L67" s="3" t="s">
        <v>795</v>
      </c>
      <c r="M67" s="3" t="s">
        <v>1067</v>
      </c>
      <c r="N67" s="3" t="s">
        <v>1068</v>
      </c>
      <c r="O67" s="3" t="s">
        <v>48</v>
      </c>
      <c r="P67" s="3" t="s">
        <v>1069</v>
      </c>
      <c r="Q67" s="3" t="s">
        <v>49</v>
      </c>
      <c r="R67" s="3" t="s">
        <v>52</v>
      </c>
      <c r="S67" s="3" t="s">
        <v>51</v>
      </c>
      <c r="T67" s="3" t="s">
        <v>51</v>
      </c>
      <c r="U67" s="1" t="s">
        <v>1070</v>
      </c>
      <c r="V67" s="3" t="s">
        <v>1071</v>
      </c>
      <c r="W67" s="3" t="s">
        <v>42</v>
      </c>
      <c r="X67" s="3" t="s">
        <v>42</v>
      </c>
      <c r="Y67" t="s">
        <v>1072</v>
      </c>
      <c r="Z67" s="3" t="s">
        <v>1073</v>
      </c>
      <c r="AA67" s="3" t="s">
        <v>1074</v>
      </c>
      <c r="AB67" s="3" t="s">
        <v>1075</v>
      </c>
      <c r="AC67" s="3" t="s">
        <v>1076</v>
      </c>
      <c r="AD67" s="3"/>
      <c r="AE67" s="3" t="s">
        <v>51</v>
      </c>
      <c r="AF67" s="10">
        <v>46223</v>
      </c>
      <c r="AG67" s="3" t="s">
        <v>117</v>
      </c>
      <c r="AH67" s="3" t="s">
        <v>42</v>
      </c>
      <c r="AI67" s="3" t="s">
        <v>63</v>
      </c>
      <c r="AJ67" s="3" t="str">
        <f t="shared" si="2"/>
        <v>epa airdata epa public portal for downloading, querying, mapping, visualizing, and summarizing recent and historical ambient air-quality measurements collected at outdoor monitoring sites across the united states. public web reports, visualizations, maps, downloadable files, and api access; an api key is required for customized aqs api queries. open/public environmental exposure air quality; environmental monitoring; sdoh/geospatial; ambient air pollution; exposure assessment; regulatory monitoring; area-level data; time-series data epa airdata; air quality system; aqs; ambient air quality; outdoor air pollution; air monitor; monitoring station; pm2.5; pm10; ozone; nitrogen dioxide; sulfur dioxide; carbon monoxide; lead; air toxics; hazardous air pollutants; volatile organic compounds; aqi; air quality index; criteria pollutants; hourly air quality; daily air quality; annual air quality; monitor location; south carolina air quality environmental ambient air quality; pm2.5; pm10; ozone; nitrogen dioxide; sulfur dioxide; carbon monoxide; lead; air toxics; hazardous air pollutants; particle speciation; air quality index; meteorology; regulatory monitoring residents and populations living near covered outdoor air-monitoring locations in the united states, puerto rico, and the u.s. virgin islands united states monitoring site; county; city/cbsa; state other high monitor identifier; state and county fips codes; monitoring-site number; latitude; longitude; pollutant or parameter code; date and time; sample duration; concentration; units; arithmetic mean; daily maximum; 8-hour average; annual mean; percentiles; air quality index; number of observations; data completeness; exceptional-event flags; measurement method; monitoring network; site operator; quality-assurance information; meteorological measurements estimate ambient air-pollution exposure near populations or health-care facilities; evaluate short- and long-term air-quality trends; examine associations between pm2.5, ozone, or other pollutants and mortality, hospitalizations, hiv outcomes, respiratory disease, or cardiovascular disease; identify high-pollution periods and locations; compare south carolina counties or monitoring sites; support environmental epidemiology, policy evaluation, and regulatory research epa air quality system; airnow; epa ejscreen; cdc/atsdr environmental justice index; cdc environmental public health tracking network; noaa weather and climate data; american community survey; cdc places; cdc wonder mortality data; medicare and medicaid claims; hospital discharge data; nchhstp atlasplus; aidsvu; south carolina hiv surveillance data monitoring sites are not evenly distributed, and monitor coverage varies by pollutant, geography, and time. measurements represent conditions at specific outdoor locations and may not capture personal exposure, indoor exposure, or fine-scale variation between monitors. historical comparability may be affected by monitor openings and closures, changing instruments, methods, standards, and reporting practices. recent airnow observations shown in some airdata tools may not yet have completed aqs quality-assurance and certification procedures. missing observations and incomplete reporting can affect daily or annual summaries. area-level exposure assignments may introduce spatial misclassification, especially for populations far from a monitor. public environmental monitoring data with no identifiable individual records. customized aqs api use requires registration for an api key, but does not require restricted-data approval. researchers linking monitor data to protected health or hiv records must follow the governance, geocoding, confidentiality, suppression, irb, and data-use requirements of the health dataset. cite epa airdata or aqs and document the pollutant, monitor-selection method, averaging period, quality flags, and data vintage used.</v>
      </c>
    </row>
    <row r="68" spans="1:36" ht="42.75" customHeight="1">
      <c r="A68" s="1" t="s">
        <v>1077</v>
      </c>
      <c r="B68" s="9" t="s">
        <v>1078</v>
      </c>
      <c r="C68" s="3" t="s">
        <v>1079</v>
      </c>
      <c r="D68" s="14" t="s">
        <v>1633</v>
      </c>
      <c r="E68" s="12" t="s">
        <v>1081</v>
      </c>
      <c r="F68" s="3" t="s">
        <v>1080</v>
      </c>
      <c r="G68" s="3" t="s">
        <v>1080</v>
      </c>
      <c r="H68" s="3" t="s">
        <v>1080</v>
      </c>
      <c r="I68" s="3" t="s">
        <v>1080</v>
      </c>
      <c r="J68" s="3"/>
      <c r="K68" s="3"/>
      <c r="L68" s="3"/>
      <c r="M68" s="3"/>
      <c r="N68" s="3"/>
      <c r="O68" s="3"/>
      <c r="Q68" s="3"/>
      <c r="R68" s="3"/>
      <c r="S68" s="3"/>
      <c r="T68" s="3"/>
      <c r="U68" s="1"/>
      <c r="V68" s="3"/>
      <c r="W68" s="3"/>
      <c r="X68" s="3"/>
      <c r="Y68" s="3"/>
      <c r="Z68" s="3"/>
      <c r="AA68" s="3"/>
      <c r="AB68" s="3"/>
      <c r="AC68" s="3"/>
      <c r="AD68" s="3"/>
      <c r="AE68" s="3" t="s">
        <v>52</v>
      </c>
      <c r="AF68" s="10">
        <v>46223</v>
      </c>
      <c r="AG68" s="3" t="s">
        <v>117</v>
      </c>
      <c r="AH68" s="3" t="s">
        <v>137</v>
      </c>
      <c r="AI68" s="3" t="s">
        <v>1082</v>
      </c>
      <c r="AJ68" s="3" t="str">
        <f t="shared" si="2"/>
        <v>epa aqs api epa / arcgis / data.gov programmatic access method for customized retrieval of data from epa’s air quality system, the same underlying monitoring repository represented by epa airdata. same as epa airdata same as epa airdata same as epa airdata</v>
      </c>
    </row>
    <row r="69" spans="1:36" ht="99.75" customHeight="1">
      <c r="A69" s="1" t="s">
        <v>1083</v>
      </c>
      <c r="B69" s="8" t="s">
        <v>1084</v>
      </c>
      <c r="C69" s="3" t="s">
        <v>1062</v>
      </c>
      <c r="D69" s="14" t="s">
        <v>1632</v>
      </c>
      <c r="E69" s="1" t="s">
        <v>1085</v>
      </c>
      <c r="F69" s="3" t="s">
        <v>1086</v>
      </c>
      <c r="G69" s="3" t="s">
        <v>224</v>
      </c>
      <c r="H69" s="3" t="s">
        <v>137</v>
      </c>
      <c r="I69" s="3" t="s">
        <v>810</v>
      </c>
      <c r="J69" s="3" t="s">
        <v>1087</v>
      </c>
      <c r="K69" s="3" t="s">
        <v>1088</v>
      </c>
      <c r="L69" s="3" t="s">
        <v>795</v>
      </c>
      <c r="M69" s="3" t="s">
        <v>1089</v>
      </c>
      <c r="N69" s="3" t="s">
        <v>1090</v>
      </c>
      <c r="O69" s="3" t="s">
        <v>48</v>
      </c>
      <c r="P69" s="3" t="s">
        <v>1091</v>
      </c>
      <c r="Q69" s="3" t="s">
        <v>49</v>
      </c>
      <c r="R69" s="3" t="s">
        <v>52</v>
      </c>
      <c r="S69" s="3" t="s">
        <v>51</v>
      </c>
      <c r="T69" s="3" t="s">
        <v>52</v>
      </c>
      <c r="U69" s="1" t="s">
        <v>1092</v>
      </c>
      <c r="V69" s="3" t="s">
        <v>1093</v>
      </c>
      <c r="W69" s="3" t="s">
        <v>42</v>
      </c>
      <c r="X69" s="3" t="s">
        <v>42</v>
      </c>
      <c r="Y69" s="3" t="s">
        <v>1094</v>
      </c>
      <c r="Z69" s="3" t="s">
        <v>1095</v>
      </c>
      <c r="AA69" s="3" t="s">
        <v>1096</v>
      </c>
      <c r="AB69" s="3" t="s">
        <v>1097</v>
      </c>
      <c r="AC69" s="3" t="s">
        <v>1098</v>
      </c>
      <c r="AD69" s="3"/>
      <c r="AE69" s="3" t="s">
        <v>60</v>
      </c>
      <c r="AF69" s="10">
        <v>46223</v>
      </c>
      <c r="AG69" s="3" t="s">
        <v>117</v>
      </c>
      <c r="AH69" s="3" t="s">
        <v>62</v>
      </c>
      <c r="AI69" s="3" t="s">
        <v>63</v>
      </c>
      <c r="AJ69" s="3" t="str">
        <f t="shared" si="2"/>
        <v>epa airtoxscreen epa national screening assessment that models ambient concentrations, population exposures, lifetime cancer risks, and chronic noncancer hazards associated with hazardous air pollutants to help identify pollutants, emission sources, and locations that may warrant further study. public website, mapping tool, technical documentation, and downloadable national and state-level assessment files open/public environmental exposure air quality; air toxics; hazardous air pollutants; exposure modeling; cancer risk; health risk screening; environmental justice; sdoh/geospatial; area-level data epa airtoxscreen; air toxics screening assessment; air toxics; hazardous air pollutants; haps; modeled air pollution; ambient concentration; exposure concentration; inhalation exposure; lifetime cancer risk; cancer risk per million; noncancer hazard index; respiratory hazard; census block; census tract; emissions source; point source; mobile source; nonpoint source; background pollution; environmental health disparities environmental hazardous air pollutants; air toxics; ambient concentrations; inhalation exposure; lifetime cancer risk; respiratory noncancer hazards; point-source emissions; mobile-source emissions; nonpoint emissions; wildfire and fire emissions; background pollution; environmental health disparities residents of the united states, represented through modeled population exposure to outdoor hazardous air pollutants at small-area geographic levels united states census block; census tract; county; state, depending on assessment year and output other high census block or tract identifier; state and county fips codes; hazardous air pollutant; modeled ambient concentration; modeled exposure concentration; lifetime cancer risk per million; respiratory hazard quotient; respiratory hazard index; emissions-source category; point-source contribution; on-road mobile contribution; nonroad mobile contribution; nonpoint-source contribution; fire contribution; biogenic contribution; secondary-formation contribution; background contribution; population; latitude; longitude identify communities with elevated modeled air-toxics burdens; examine associations between long-term air-toxics exposure and hiv outcomes, cancer, respiratory disease, or cardiovascular outcomes; characterize neighborhood environmental context; prioritize areas for monitoring or detailed assessment; compare pollutant and source contributions; assess environmental-health disparities; support community-engagement and hypothesis-generation studies epa national emissions inventory; epa airdata/aqs; epa ejscreen; epa toxics release inventory; epa risk-screening environmental indicators; cdc/atsdr environmental justice index; cdc environmental public health tracking network; american community survey; cdc places; nchhstp atlasplus; aidsvu; cdc national hiv surveillance system; south carolina hiv surveillance data screening-level modeled assessment rather than direct measurement, personal-exposure assessment, regulatory determination, or site-specific risk assessment. estimates assume long-term exposure to modeled annual-average conditions and do not characterize short-term peaks, indoor exposure, occupational exposure, ingestion pathways, or every hazardous air pollutant. results depend on emissions inventories, meteorology, atmospheric models, toxicity values, population data, and assumptions that contain uncertainty. fine geographic output does not imply equivalent precision because some inputs and model processes operate at coarser scales. differences across assessment years may reflect methodological changes as well as actual emissions changes. results should be used to identify priorities for additional investigation, not to estimate an individual's health risk. public modeled area-level data with no identifiable individual records. linking airtoxscreen results to protected hiv, clinical, claims, or surveillance data requires compliance with the confidentiality, geocoding, suppression, irb, and data-use requirements of the health dataset. avoid presenting modeled area-level risk as an individual exposure or diagnosis. document the assessment year, geography, pollutant, source category, risk metric, and modeling version used.</v>
      </c>
    </row>
    <row r="70" spans="1:36" ht="128.25" customHeight="1">
      <c r="A70" s="1" t="s">
        <v>1099</v>
      </c>
      <c r="B70" s="9" t="s">
        <v>1100</v>
      </c>
      <c r="C70" s="3" t="s">
        <v>1062</v>
      </c>
      <c r="D70" s="4" t="s">
        <v>1101</v>
      </c>
      <c r="E70" s="1" t="s">
        <v>1102</v>
      </c>
      <c r="F70" s="3" t="s">
        <v>1103</v>
      </c>
      <c r="G70" s="3" t="s">
        <v>224</v>
      </c>
      <c r="H70" s="3" t="s">
        <v>62</v>
      </c>
      <c r="I70" s="3" t="s">
        <v>810</v>
      </c>
      <c r="J70" s="3" t="s">
        <v>1104</v>
      </c>
      <c r="K70" s="3" t="s">
        <v>1105</v>
      </c>
      <c r="L70" s="3" t="s">
        <v>795</v>
      </c>
      <c r="M70" s="3" t="s">
        <v>1106</v>
      </c>
      <c r="N70" s="3" t="s">
        <v>1107</v>
      </c>
      <c r="O70" s="3" t="s">
        <v>48</v>
      </c>
      <c r="P70" s="3" t="s">
        <v>1108</v>
      </c>
      <c r="Q70" s="3" t="s">
        <v>49</v>
      </c>
      <c r="R70" s="3" t="s">
        <v>52</v>
      </c>
      <c r="S70" s="3" t="s">
        <v>51</v>
      </c>
      <c r="T70" s="3" t="s">
        <v>51</v>
      </c>
      <c r="U70" s="1" t="s">
        <v>1109</v>
      </c>
      <c r="V70" s="3" t="s">
        <v>1110</v>
      </c>
      <c r="W70" s="3" t="s">
        <v>42</v>
      </c>
      <c r="X70" s="3" t="s">
        <v>42</v>
      </c>
      <c r="Y70" s="3" t="s">
        <v>1111</v>
      </c>
      <c r="Z70" s="3" t="s">
        <v>1112</v>
      </c>
      <c r="AA70" s="3" t="s">
        <v>1113</v>
      </c>
      <c r="AB70" s="3" t="s">
        <v>1114</v>
      </c>
      <c r="AC70" s="3" t="s">
        <v>1115</v>
      </c>
      <c r="AD70" s="3"/>
      <c r="AE70" s="3" t="s">
        <v>60</v>
      </c>
      <c r="AF70" s="10">
        <v>46223</v>
      </c>
      <c r="AG70" s="3" t="s">
        <v>117</v>
      </c>
      <c r="AH70" s="3" t="s">
        <v>62</v>
      </c>
      <c r="AI70" s="3" t="s">
        <v>63</v>
      </c>
      <c r="AJ70" s="3" t="str">
        <f t="shared" si="2"/>
        <v>epa national emissions inventory (nei) epa comprehensive national inventory of estimated air-pollutant emissions from stationary facilities, smaller area sources, on-road vehicles, off-road equipment, airports, rail, marine vessels, agriculture, and fires for emissions characterization, trend analysis, air-quality modeling, and regulatory research. public webpages, downloadable inventory files, summaries, technical documentation, and online retrieval tools open/public environmental exposure air emissions; air quality; hazardous air pollutants; criteria pollutants; industrial facilities; mobile sources; fires; source inventory; environmental modeling; area-level data epa nei; national emissions inventory; air emissions; emissions inventory; criteria pollutants; hazardous air pollutants; haps; pm2.5; pm10; nitrogen oxides; sulfur dioxide; carbon monoxide; volatile organic compounds; ammonia; lead; facility emissions; point sources; nonpoint sources; onroad emissions; nonroad emissions; wildfire emissions; prescribed fire; source classification code; emissions sector; county emissions environmental air-pollutant emissions; criteria pollutants; hazardous air pollutants; industrial emissions; power plants; transportation emissions; nonroad equipment; residential combustion; commercial activity; agriculture; wildfires; prescribed fires; airports; rail; marine vessels; emissions trends; air-quality modeling residents of the united states and territories potentially affected by air emissions from inventoried sources united states facility; emission unit; county; tribal area; state, depending on source category and file other high inventory year; facility identifier; facility name; state and county fips codes; latitude; longitude; source classification code; emissions process; source sector; point, nonpoint, onroad, or nonroad category; pollutant code; pollutant name; annual emissions; emissions units; stack and release-point characteristics; control equipment; activity data; emission factor; fuel type; vehicle or equipment class; fire type; county total emissions identify major air-emission sources and sectors; characterize industrial and transportation emissions near communities; compare emissions across counties or years; examine associations between area-level emissions and hiv, respiratory, cardiovascular, cancer, or hospitalization outcomes; support source-apportionment and air-quality modeling; evaluate environmental disparities; identify facilities or sectors for more detailed study epa airtoxscreen; epa airdata/aqs; epa ejscreen; epa toxics release inventory; epa risk-screening environmental indicators; epa facility registry service; epa echo; noaa meteorological data; american community survey; cdc/atsdr environmental justice index; cdc places; nchhstp atlasplus; aidsvu; south carolina hiv surveillance data emissions inventory rather than direct ambient concentration, personal exposure, or health-risk data. values are reported or estimated using methods that vary by source category, state, pollutant, and inventory year. nonpoint, mobile, and fire emissions are often modeled or allocated to counties and may not identify precise release locations. reporting thresholds can exclude smaller facilities from point-source files. differences across years may reflect methodology, reporting requirements, classification changes, or improved data rather than actual emissions changes. annual totals do not capture short-term peaks or atmospheric transport. emitted quantities should not be interpreted as population dose or health risk without additional exposure modeling. public environmental and facility-level data with no identifiable individual health records. linking nei data to protected hiv, clinical, or surveillance records requires compliance with the confidentiality, geocoding, suppression, irb, and data-use requirements of the health dataset. researchers should document the inventory version, source category, pollutant, geographic aggregation, unit conversion, and processing decisions.</v>
      </c>
    </row>
    <row r="71" spans="1:36" ht="57" customHeight="1">
      <c r="A71" s="1" t="s">
        <v>1116</v>
      </c>
      <c r="B71" s="8" t="s">
        <v>1117</v>
      </c>
      <c r="C71" s="3" t="s">
        <v>1062</v>
      </c>
      <c r="D71" s="4" t="s">
        <v>1118</v>
      </c>
      <c r="E71" s="1" t="s">
        <v>1119</v>
      </c>
      <c r="F71" s="3" t="s">
        <v>1120</v>
      </c>
      <c r="G71" s="3" t="s">
        <v>224</v>
      </c>
      <c r="H71" s="3" t="s">
        <v>137</v>
      </c>
      <c r="I71" s="3" t="s">
        <v>810</v>
      </c>
      <c r="J71" s="3" t="s">
        <v>1121</v>
      </c>
      <c r="K71" s="3" t="s">
        <v>1122</v>
      </c>
      <c r="L71" s="3" t="s">
        <v>795</v>
      </c>
      <c r="M71" s="3" t="s">
        <v>1123</v>
      </c>
      <c r="N71" s="3" t="s">
        <v>1124</v>
      </c>
      <c r="O71" s="3" t="s">
        <v>48</v>
      </c>
      <c r="P71" s="3" t="s">
        <v>1125</v>
      </c>
      <c r="Q71" s="3" t="s">
        <v>815</v>
      </c>
      <c r="R71" s="3" t="s">
        <v>52</v>
      </c>
      <c r="S71" s="3" t="s">
        <v>51</v>
      </c>
      <c r="T71" s="3" t="s">
        <v>51</v>
      </c>
      <c r="U71" s="1" t="s">
        <v>1126</v>
      </c>
      <c r="V71" s="3" t="s">
        <v>1127</v>
      </c>
      <c r="W71" s="3" t="s">
        <v>42</v>
      </c>
      <c r="X71" s="3" t="s">
        <v>42</v>
      </c>
      <c r="Y71" s="3" t="s">
        <v>1128</v>
      </c>
      <c r="Z71" s="3" t="s">
        <v>1129</v>
      </c>
      <c r="AA71" s="3" t="s">
        <v>1130</v>
      </c>
      <c r="AB71" s="3" t="s">
        <v>1131</v>
      </c>
      <c r="AC71" s="3" t="s">
        <v>1132</v>
      </c>
      <c r="AD71" s="3"/>
      <c r="AE71" s="3" t="s">
        <v>60</v>
      </c>
      <c r="AF71" s="10">
        <v>46223</v>
      </c>
      <c r="AG71" s="3" t="s">
        <v>117</v>
      </c>
      <c r="AH71" s="3" t="s">
        <v>42</v>
      </c>
      <c r="AI71" s="3" t="s">
        <v>63</v>
      </c>
      <c r="AJ71" s="3" t="str">
        <f t="shared" si="2"/>
        <v>epa toxics release inventory (tri) epa annual facility-level data on toxic chemical releases, waste management, off-site transfers, recycling, treatment, energy recovery, and pollution-prevention activities reported by covered industrial and federal facilities. public interactive tools, maps, reports, downloadable annual files, facility records, and envirofacts searches open/public environmental exposure industrial pollution; toxic chemicals; facility-level data; environmental justice; pollution prevention; air releases; water releases; land disposal; waste management; longitudinal data epa tri; toxics release inventory; toxic chemical releases; facility emissions; industrial pollution; chemical waste management; air releases; water discharges; land disposal; off-site transfers; recycling; treatment; energy recovery; pollution prevention; source reduction; tri facility; trifid; form r; form a; epcra section 313; pfas; environmental justice; chemical exposure environmental toxic chemical releases; industrial emissions; air pollution; surface-water discharges; underground injection; land disposal; off-site waste transfers; chemical recycling; energy recovery; treatment; pollution prevention; source reduction; facility environmental performance residents and communities potentially affected by toxic chemical releases and waste-management activities from covered industrial and federal facilities in the united states and territories united states facility; zip code; county; state; tribal area facility/provider high tri facility identifier; facility name; parent company; street address; city; county; state; zip code; latitude; longitude; tribal land indicator; naics industry code; chemical name; cas number; chemical category; reporting year; on-site air releases; surface-water discharges; underground injection; land disposal; fugitive air emissions; stack air emissions; off-site transfers; recycling; energy recovery; treatment; production-related waste; one-time releases; source-reduction activities; pollution-prevention practices; receiving facility; release units identify facilities and chemicals contributing to local industrial pollution; map facility proximity to communities affected by hiv or other health disparities; examine trends in releases and waste management; assess industrial and environmental-justice burdens; identify chemicals or industries for further exposure assessment; study associations between facility activity and area-level health outcomes; evaluate pollution-prevention changes over time epa risk-screening environmental indicators; epa ejscreen; epa facility registry service; epa echo; epa national emissions inventory; epa airtoxscreen; epa airdata/aqs; american community survey; cdc/atsdr environmental justice index; cdc places; nchhstp atlasplus; aidsvu; south carolina hiv surveillance data tri does not cover every chemical, facility, or industry sector. facilities report only when they meet applicable industry, employee, chemical-use, and reporting thresholds. reported release quantities are not direct measures of environmental concentration, personal exposure, dose, or health risk. releases may be permitted and managed under environmental regulations. facility-reported values may be estimates rather than direct measurements and can be revised after initial submission. reporting requirements, covered chemicals, industry classifications, and estimation methods change over time. comparing pounds across chemicals can be misleading because toxicity and environmental fate vary greatly. dioxin and dioxin-like compounds are reported in grams, while most other chemicals are reported in pounds. public facility-level environmental data with no identifiable individual health records. researchers linking tri facilities to protected hiv, clinical, claims, or surveillance data must follow the confidentiality, geocoding, suppression, irb, and data-use requirements of the health dataset. avoid interpreting proximity as confirmed exposure. document the reporting year, data vintage, chemical universe, facility-selection criteria, distance or buffer method, units, revisions, and treatment of off-site transfers.</v>
      </c>
    </row>
    <row r="72" spans="1:36" ht="71.25" customHeight="1">
      <c r="A72" s="1" t="s">
        <v>1133</v>
      </c>
      <c r="B72" s="9" t="s">
        <v>1134</v>
      </c>
      <c r="C72" s="3" t="s">
        <v>1062</v>
      </c>
      <c r="D72" s="4" t="s">
        <v>1135</v>
      </c>
      <c r="E72" s="1" t="s">
        <v>1136</v>
      </c>
      <c r="F72" s="3" t="s">
        <v>1137</v>
      </c>
      <c r="G72" s="3" t="s">
        <v>224</v>
      </c>
      <c r="H72" s="3" t="s">
        <v>62</v>
      </c>
      <c r="I72" s="3" t="s">
        <v>810</v>
      </c>
      <c r="J72" s="3" t="s">
        <v>1138</v>
      </c>
      <c r="K72" s="3" t="s">
        <v>1139</v>
      </c>
      <c r="L72" s="3" t="s">
        <v>795</v>
      </c>
      <c r="M72" s="3" t="s">
        <v>1140</v>
      </c>
      <c r="N72" s="3" t="s">
        <v>1141</v>
      </c>
      <c r="O72" s="3" t="s">
        <v>48</v>
      </c>
      <c r="P72" s="3" t="s">
        <v>1142</v>
      </c>
      <c r="Q72" s="3" t="s">
        <v>49</v>
      </c>
      <c r="R72" s="3" t="s">
        <v>52</v>
      </c>
      <c r="S72" s="3" t="s">
        <v>51</v>
      </c>
      <c r="T72" s="3" t="s">
        <v>51</v>
      </c>
      <c r="U72" s="1" t="s">
        <v>1143</v>
      </c>
      <c r="V72" s="3" t="s">
        <v>1144</v>
      </c>
      <c r="W72" s="3" t="s">
        <v>42</v>
      </c>
      <c r="X72" s="3" t="s">
        <v>42</v>
      </c>
      <c r="Y72" s="3" t="s">
        <v>1145</v>
      </c>
      <c r="Z72" s="3" t="s">
        <v>1146</v>
      </c>
      <c r="AA72" s="3" t="s">
        <v>1147</v>
      </c>
      <c r="AB72" s="3" t="s">
        <v>1148</v>
      </c>
      <c r="AC72" s="3" t="s">
        <v>1149</v>
      </c>
      <c r="AD72" s="3"/>
      <c r="AE72" s="3" t="s">
        <v>51</v>
      </c>
      <c r="AF72" s="10">
        <v>46223</v>
      </c>
      <c r="AG72" s="3" t="s">
        <v>117</v>
      </c>
      <c r="AH72" s="3" t="s">
        <v>62</v>
      </c>
      <c r="AI72" s="3" t="s">
        <v>63</v>
      </c>
      <c r="AJ72" s="3" t="str">
        <f t="shared" si="2"/>
        <v>epa risk-screening environmental indicators (rsei) epa screening-level model that places tri-reported toxic chemical releases and waste-management activities into a relative health-impact context by incorporating chemical toxicity, environmental fate and transport, modeled exposure pathways, and potentially exposed populations. public website, interactive easyrsei dashboard, downloadable model results, geographic microdata, technical documentation, and data dictionary open/public environmental exposure toxic chemicals; industrial pollution; environmental justice; exposure modeling; risk screening; cancer risk; noncancer effects; facility-level data; geospatial data; longitudinal data epa rsei; risk-screening environmental indicators; easyrsei; rsei geographic microdata; tri risk screening; toxicity-weighted concentration; toxicity-weighted pounds; rsei score; rsei hazard; modeled exposure; industrial chemical releases; chronic health impacts; cancer effects; noncancer effects; air releases; water releases; off-site transfers; census block group; environmental justice; facility ranking environmental toxic chemical releases; industrial pollution; modeled air exposure; modeled water exposure; chemical toxicity; environmental fate and transport; chronic cancer effects; chronic noncancer effects; population exposure; facility prioritization; environmental justice; pollution trends residents of the united states potentially affected by modeled air and water pathways from tri-reporting industrial and federal facilities united states 810-meter grid cell; census block group; census tract; zip code; county; facility; state, depending on product other high tri facility identifier; facility name; parent company; facility latitude and longitude; reporting year; chemical name; cas number; naics industry; release pathway; pounds released or transferred; modeled pounds; toxicity weight; toxicity-weighted pounds; modeled air concentration; modeled water concentration; toxicity-weighted concentration; potentially exposed population; rsei score; cancer rsei score; noncancer rsei score; rsei hazard; grid-cell identifier; census block group geoid; census tract; zip code; county; state prioritize facilities, chemicals, industries, or communities for further investigation; identify geographic areas with relatively high modeled industrial chemical burdens; examine associations between modeled toxic exposure and hiv outcomes or other health disparities; compare cancer- and noncancer-related screening scores; assess trends in potential chronic health impacts; evaluate environmental justice patterns; support community-engagement, hypothesis-generation, and resource-prioritization studies epa toxics release inventory; epa ejscreen; epa airtoxscreen; epa national emissions inventory; epa airdata/aqs; epa facility registry service; epa echo; cdc/atsdr environmental justice index; cdc/atsdr social vulnerability index; american community survey; cdc places; nchhstp atlasplus; aidsvu; south carolina hiv surveillance data screening and prioritization model rather than a formal risk assessment, regulatory compliance determination, or estimate of individual health risk. results rely on tri reporting and therefore exclude facilities, industries, chemicals, or activities outside tri requirements. rsei uses simplifying and sometimes conservative assumptions when detailed exposure or toxicity information is unavailable. scores are unitless and intended for relative comparisons, not as probabilities of illness or absolute risk values. modeled concentrations and exposure estimates are not personal measurements. rsei models selected air releases, water releases, transfers to publicly owned treatment works, and transfers to incineration, but does not model every tri waste-management pathway. facility-level scores may reflect impacts occurring away from the reporting facility, including off-site transfers. geographic and annual comparisons should use the same rsei model version. public modeled environmental data with no identifiable individual health records. linking rsei results to protected hiv, clinical, claims, or surveillance data requires compliance with the confidentiality, geocoding, suppression, irb, and data-use requirements of the health dataset. avoid interpreting area-level scores as individual exposure or disease risk. document the rsei version, tri reporting years, pathway, chemical universe, geographic product, cancer or noncancer metric, and processing decisions.</v>
      </c>
    </row>
    <row r="73" spans="1:36" ht="142.5" customHeight="1">
      <c r="A73" s="1" t="s">
        <v>1150</v>
      </c>
      <c r="B73" s="8" t="s">
        <v>1151</v>
      </c>
      <c r="C73" s="3" t="s">
        <v>1062</v>
      </c>
      <c r="D73" s="4" t="s">
        <v>1152</v>
      </c>
      <c r="E73" s="1" t="s">
        <v>1153</v>
      </c>
      <c r="F73" s="3" t="s">
        <v>1154</v>
      </c>
      <c r="G73" s="3" t="s">
        <v>224</v>
      </c>
      <c r="H73" s="3" t="s">
        <v>137</v>
      </c>
      <c r="I73" s="3" t="s">
        <v>810</v>
      </c>
      <c r="J73" s="3" t="s">
        <v>1155</v>
      </c>
      <c r="K73" s="3" t="s">
        <v>1156</v>
      </c>
      <c r="L73" s="3" t="s">
        <v>795</v>
      </c>
      <c r="M73" s="3" t="s">
        <v>1157</v>
      </c>
      <c r="N73" s="3" t="s">
        <v>1158</v>
      </c>
      <c r="O73" s="3" t="s">
        <v>48</v>
      </c>
      <c r="P73" s="3" t="s">
        <v>1159</v>
      </c>
      <c r="Q73" t="s">
        <v>815</v>
      </c>
      <c r="R73" s="3" t="s">
        <v>52</v>
      </c>
      <c r="S73" s="3" t="s">
        <v>51</v>
      </c>
      <c r="T73" s="3" t="s">
        <v>51</v>
      </c>
      <c r="U73" s="1" t="s">
        <v>1160</v>
      </c>
      <c r="V73" s="3" t="s">
        <v>1161</v>
      </c>
      <c r="W73" s="3" t="s">
        <v>42</v>
      </c>
      <c r="X73" s="3" t="s">
        <v>42</v>
      </c>
      <c r="Y73" s="3" t="s">
        <v>1162</v>
      </c>
      <c r="Z73" s="3" t="s">
        <v>1163</v>
      </c>
      <c r="AA73" s="3" t="s">
        <v>1164</v>
      </c>
      <c r="AB73" s="3" t="s">
        <v>1165</v>
      </c>
      <c r="AC73" s="3" t="s">
        <v>1166</v>
      </c>
      <c r="AD73" s="3"/>
      <c r="AE73" s="3" t="s">
        <v>51</v>
      </c>
      <c r="AF73" s="10">
        <v>46224</v>
      </c>
      <c r="AG73" s="3" t="s">
        <v>117</v>
      </c>
      <c r="AH73" s="3" t="s">
        <v>62</v>
      </c>
      <c r="AI73" s="3" t="s">
        <v>63</v>
      </c>
      <c r="AJ73" s="3" t="str">
        <f t="shared" si="2"/>
        <v>epa enforcement and compliance history online (echo) epa integrated public portal for locating regulated facilities and examining environmental permits, inspections, compliance status, violations, enforcement actions, penalties, pollutant discharges, and surrounding community characteristics across major federal environmental programs. public facility searches, detailed facility reports, dashboards, maps, bulk downloads, map services, and query-only web services; optional user accounts support selected notification or saved-search functions. open/public environmental exposure regulatory compliance; environmental enforcement; facility-level data; industrial pollution; drinking water; wastewater; hazardous waste; air regulation; environmental justice; permits; inspections; longitudinal data epa echo; enforcement and compliance history online; environmental compliance; regulated facility; facility inspection; environmental violation; enforcement action; civil penalty; clean air act; clean water act; npdes; safe drinking water act; rcra; hazardous waste; discharge monitoring report; permit compliance; pollutant discharge; public water system; environmental justice; facility search environmental environmental regulation; facility compliance; permits; inspections; violations; enforcement actions; penalties; air-program compliance; wastewater and stormwater discharges; drinking-water compliance; hazardous-waste regulation; pollutant loadings; industrial facilities; community demographics residents and communities located near or served by regulated facilities, public water systems, wastewater systems, hazardous-waste handlers, and other entities covered by epa environmental programs united states facility; public water system; permitted discharge point; county; state; watershed facility/provider high epa facility registry service identifier; program-specific facility identifier; facility name; address; latitude; longitude; county; state; tribal-area association; industry code; regulatory program; permit identifier; permit status; inspection or evaluation date; compliance status; quarters in noncompliance; significant noncompliance or high-priority violation flag; violation type; enforcement action; case number; penalty amount; pollutant discharge; permit limit; discharge monitoring result; public water system identifier; population served; surrounding demographic indicators identify regulated facilities near communities or health-service locations; examine whether environmental violations or enforcement activity cluster in disadvantaged areas; characterize regulatory and industrial context for hiv or other health-disparities studies; assess facility inspection and compliance histories; identify wastewater discharges or drinking-water compliance concerns; compare enforcement patterns across counties or states; link facility compliance records to environmental, demographic, or health outcomes; support community-engagement and environmental-justice research epa facility registry service; epa toxics release inventory; epa risk-screening environmental indicators; epa national emissions inventory; epa airtoxscreen; epa airdata/aqs; epa ejscreen; epa envirofacts; epa water pollutant loading tool; safe drinking water information system; american community survey; cdc/atsdr environmental justice index; cdc places; nchhstp atlasplus; aidsvu; south carolina hiv surveillance data echo integrates records from multiple federal, state, local, and tribal systems whose completeness, reporting schedules, terminology, and data quality vary. a listed violation may be historical, resolved, under review, or affected by reporting lag. absence of a violation does not establish absence of pollution or risk, and enforcement activity may partly reflect inspection frequency and regulatory priorities. facility location does not establish personal exposure. program coverage differs: not every facility is regulated under every statute, and not every environmental release appears in echo. search pages show limited recent history, while additional years may require detailed reports or bulk downloads. known data problems and refresh dates should be reviewed before analysis. public facility- and system-level regulatory data with no identifiable individual health records. linking echo information to protected hiv, clinical, claims, or surveillance data requires compliance with the confidentiality, geocoding, suppression, irb, and data-use requirements of the health dataset. avoid treating residence near a regulated or noncompliant facility as confirmed individual exposure. document the regulatory program, extraction date, facility-matching method, compliance window, violation definition, enforcement status, and data vintage.</v>
      </c>
    </row>
    <row r="74" spans="1:36" ht="71.25" customHeight="1">
      <c r="A74" s="1" t="s">
        <v>1167</v>
      </c>
      <c r="B74" s="9" t="s">
        <v>1168</v>
      </c>
      <c r="C74" s="3" t="s">
        <v>1062</v>
      </c>
      <c r="D74" s="4" t="s">
        <v>1169</v>
      </c>
      <c r="E74" s="1" t="s">
        <v>1170</v>
      </c>
      <c r="F74" s="3" t="s">
        <v>1171</v>
      </c>
      <c r="G74" s="3" t="s">
        <v>224</v>
      </c>
      <c r="H74" s="3" t="s">
        <v>137</v>
      </c>
      <c r="I74" s="3" t="s">
        <v>810</v>
      </c>
      <c r="J74" s="3" t="s">
        <v>1172</v>
      </c>
      <c r="K74" s="3" t="s">
        <v>1173</v>
      </c>
      <c r="L74" s="3" t="s">
        <v>323</v>
      </c>
      <c r="M74" s="3" t="s">
        <v>1174</v>
      </c>
      <c r="N74" s="3" t="s">
        <v>1175</v>
      </c>
      <c r="O74" s="3" t="s">
        <v>48</v>
      </c>
      <c r="P74" s="3" t="s">
        <v>1176</v>
      </c>
      <c r="Q74" s="3" t="s">
        <v>815</v>
      </c>
      <c r="R74" s="3" t="s">
        <v>52</v>
      </c>
      <c r="S74" s="3" t="s">
        <v>51</v>
      </c>
      <c r="T74" s="3" t="s">
        <v>52</v>
      </c>
      <c r="U74" s="1" t="s">
        <v>1177</v>
      </c>
      <c r="V74" s="3" t="s">
        <v>1178</v>
      </c>
      <c r="W74" s="3" t="s">
        <v>42</v>
      </c>
      <c r="X74" s="3" t="s">
        <v>42</v>
      </c>
      <c r="Y74" s="3" t="s">
        <v>1179</v>
      </c>
      <c r="Z74" s="3" t="s">
        <v>1180</v>
      </c>
      <c r="AA74" s="3" t="s">
        <v>1181</v>
      </c>
      <c r="AB74" s="3" t="s">
        <v>1182</v>
      </c>
      <c r="AC74" s="3" t="s">
        <v>1183</v>
      </c>
      <c r="AD74" s="3"/>
      <c r="AE74" s="3" t="s">
        <v>60</v>
      </c>
      <c r="AF74" s="10">
        <v>46224</v>
      </c>
      <c r="AG74" s="3" t="s">
        <v>117</v>
      </c>
      <c r="AH74" s="3" t="s">
        <v>62</v>
      </c>
      <c r="AI74" s="3" t="s">
        <v>63</v>
      </c>
      <c r="AJ74" s="3" t="str">
        <f t="shared" si="2"/>
        <v>epa facility registry service (frs) epa central facility-identification and geospatial registry that consolidates facility names, locations, identifiers, industrial classifications, and environmental-program affiliations from epa, state, tribal, and other partner systems to support facility matching and cross-dataset linkage. public facility search, downloadable state and national csv files, geospatial downloads, rest apis, arcgis map services, and custom query tools; selected intergovernmental or internal services require authentication. open/public environmental exposure sdoh/geospatial; facility registry; environmental regulation; data integration; facility identifiers; industrial facilities; geocoding; cross-dataset linkage; area-level data epa frs; facility registry service; facility registry system; frs registry id; facility identifier; environmental facility; regulated facility; facility location; facility crosswalk; facility geocoding; epa program systems; industrial classification; naics; sic; environmental interest; facility matching; environmental data integration; south carolina facilities geospatial/area-level environmental facilities; regulated sites; industrial facilities; facility identification; facility geolocation; air programs; water programs; hazardous waste; toxic releases; contaminated sites; drinking-water systems; wastewater facilities; environmental data integration residents and communities located near facilities, sites, public water systems, wastewater facilities, and other locations represented in epa or partner environmental-program systems united states facility or site facility/provider high frs registry id; program-system identifier; facility or site name; alternate facility name; street address; mailing address; city; county; state; zip code; latitude; longitude; geospatial verification information; affiliated organization; environmental-program affiliation; program interest type; facility status; naics code and description; sic code and description; tribal-area information; congressional district match facilities across epa datasets; crosswalk tri, echo, rcra, superfund, npdes, sdwis, aqs, and other program identifiers; geocode environmental facilities; remove duplicate facility records; identify facility types near communities or health-service locations; construct proximity measures for public-health studies; examine the distribution of regulated or environmentally relevant facilities; support reproducible environmental-data integration epa echo; epa toxics release inventory; epa risk-screening environmental indicators; epa national emissions inventory; epa airtoxscreen; epa airdata/aqs; epa envirofacts; epa rcrainfo; epa superfund enterprise management system; epa npdes/icis; safe drinking water information system; american community survey; cdc/atsdr environmental justice index facility registry and identity-resolution system rather than a direct pollution, exposure, emissions, compliance, or health-risk dataset. presence of a facility in frs does not establish that it is currently operating, violating regulations, releasing pollution, or creating exposure. absence from frs does not establish the absence of an environmental concern. facilities may have multiple names, addresses, program identifiers, owners, or program interests. coordinate accuracy and facility boundaries vary, and a single coordinate may not represent the location of releases or the full facility footprint. contributing systems have different scopes, definitions, update schedules, and historical coverage. facility records and program links should be validated before analysis. public facility- and site-level environmental information with no identifiable individual health records. public downloads exclude data designated as sensitive. linking frs locations to protected hiv, clinical, claims, or surveillance data requires compliance with the confidentiality, geocoding, suppression, irb, and data-use requirements of the health dataset. facility proximity should not be interpreted as confirmed individual exposure. document the frs extraction date, registry id matching rules, coordinate-quality criteria, program systems included, and treatment of duplicate or inactive facilities.</v>
      </c>
    </row>
    <row r="75" spans="1:36" ht="85.5" customHeight="1">
      <c r="A75" s="1" t="s">
        <v>1184</v>
      </c>
      <c r="B75" s="9" t="s">
        <v>1185</v>
      </c>
      <c r="C75" s="3" t="s">
        <v>1062</v>
      </c>
      <c r="D75" s="14" t="s">
        <v>1631</v>
      </c>
      <c r="E75" s="1" t="s">
        <v>1186</v>
      </c>
      <c r="F75" s="3" t="s">
        <v>1187</v>
      </c>
      <c r="G75" s="3" t="s">
        <v>224</v>
      </c>
      <c r="H75" s="3" t="s">
        <v>62</v>
      </c>
      <c r="I75" s="3" t="s">
        <v>810</v>
      </c>
      <c r="J75" s="3" t="s">
        <v>1188</v>
      </c>
      <c r="K75" s="3" t="s">
        <v>1189</v>
      </c>
      <c r="L75" s="3" t="s">
        <v>323</v>
      </c>
      <c r="M75" s="3" t="s">
        <v>1190</v>
      </c>
      <c r="N75" s="3" t="s">
        <v>1191</v>
      </c>
      <c r="O75" s="3" t="s">
        <v>48</v>
      </c>
      <c r="P75" s="3" t="s">
        <v>1192</v>
      </c>
      <c r="Q75" s="3" t="s">
        <v>815</v>
      </c>
      <c r="R75" s="3" t="s">
        <v>52</v>
      </c>
      <c r="S75" s="3" t="s">
        <v>51</v>
      </c>
      <c r="T75" s="3" t="s">
        <v>51</v>
      </c>
      <c r="U75" s="1" t="s">
        <v>1193</v>
      </c>
      <c r="V75" s="3" t="s">
        <v>1194</v>
      </c>
      <c r="W75" s="3" t="s">
        <v>42</v>
      </c>
      <c r="X75" s="3" t="s">
        <v>42</v>
      </c>
      <c r="Y75" s="3" t="s">
        <v>1195</v>
      </c>
      <c r="Z75" s="3" t="s">
        <v>1196</v>
      </c>
      <c r="AA75" s="3" t="s">
        <v>1197</v>
      </c>
      <c r="AB75" s="3" t="s">
        <v>1198</v>
      </c>
      <c r="AC75" s="3" t="s">
        <v>1199</v>
      </c>
      <c r="AD75" s="3"/>
      <c r="AE75" s="3" t="s">
        <v>60</v>
      </c>
      <c r="AF75" s="10">
        <v>46224</v>
      </c>
      <c r="AG75" s="3" t="s">
        <v>117</v>
      </c>
      <c r="AH75" s="3" t="s">
        <v>62</v>
      </c>
      <c r="AI75" s="3"/>
      <c r="AJ75" s="3" t="str">
        <f t="shared" si="2"/>
        <v>epa superfund data and reports / npl sites epa official national repository and search system for identifying active and archived superfund sites and examining site location, national priorities list status, contaminants, affected media, site assessment, cleanup actions, remedies, enforcement activities, and remediation progress. public sems search, npl site tables and maps, site profiles, downloadable reports, document collections, and separate geospatial boundary data; bulk products are distributed across multiple epa pages and formats. open/public environmental exposure sdoh/geospatial; contaminated sites; hazardous waste; superfund; environmental justice; cleanup and remediation; facility-level data; soil contamination; groundwater contamination; historical data epa superfund; sems; superfund enterprise management system; national priorities list; npl; cercla; hazardous waste site; contaminated site; cleanup site; remediation; contaminant of concern; groundwater contamination; soil contamination; sediment contamination; site assessment; record of decision; operable unit; superfund alternative approach; environmental justice; site proximity geospatial/area-level hazardous-waste sites; contaminated land; soil contamination; groundwater contamination; surface-water contamination; sediment contamination; site assessment; remediation; cleanup status; contaminants of concern; institutional controls; engineering controls; enforcement and settlements residents and communities located near active, archived, proposed, final, or deleted superfund and related hazardous-waste sites in the united states and territories united states superfund site; facility; site boundary; county; state facility/provider high sems epa id; site name; alternate site name; address; city; county; state; zip code; latitude; longitude; fips code; epa region; federal-facility indicator; npl status; non-npl status; archived status; proposed, listing, deletion, and action dates; contaminant name; affected environmental medium; operable unit; cleanup action; remedy decision; institutional or engineering control; enforcement or settlement information identify contaminated sites near communities, residential areas, or health-service locations; construct superfund-site proximity measures; examine whether hiv or other health disparities cluster near hazardous-waste sites; characterize contaminant and affected-media profiles; study cleanup and remediation timelines; assess environmental-justice patterns; identify sites for detailed document or exposure review epa facility registry service; epa echo; epa ejscreen; cdc/atsdr environmental justice index; epa toxics release inventory; epa risk-screening environmental indicators; epa rcrainfo; epa cleanups in my community; american community survey; census tiger/line; south carolina environmental cleanup data sems is an administrative site-assessment and remediation system rather than a standardized exposure or health-risk dataset. inclusion of a site does not establish that nearby residents were exposed or that current contamination remains. site status, contaminants, affected media, coordinates, and boundaries may change as investigations proceed. data completeness varies by site and cleanup stage. npl sites represent only a subset of contaminated or hazardous-waste locations. a point coordinate may not represent the full contaminated area, while boundary data are unavailable for some sites. reports and extracts use different formats and may require substantial cleaning and reconciliation. public site- and area-level environmental information with no identifiable individual health records. linking site locations to protected hiv, clinical, claims, or surveillance data requires compliance with the confidentiality, geocoding, suppression, irb, and data-use requirements of the health dataset. site proximity must not be interpreted as confirmed personal exposure. document the sems extraction date, npl-status definition, site inclusion criteria, coordinate or boundary source, distance method, and treatment of archived or deleted sites.</v>
      </c>
    </row>
    <row r="76" spans="1:36" ht="85.5" customHeight="1">
      <c r="A76" s="1" t="s">
        <v>1200</v>
      </c>
      <c r="B76" t="s">
        <v>1201</v>
      </c>
      <c r="C76" s="3" t="s">
        <v>1062</v>
      </c>
      <c r="D76" s="4" t="s">
        <v>1202</v>
      </c>
      <c r="E76" s="1" t="s">
        <v>1203</v>
      </c>
      <c r="F76" s="3" t="s">
        <v>1204</v>
      </c>
      <c r="G76" s="3" t="s">
        <v>224</v>
      </c>
      <c r="H76" s="3" t="s">
        <v>62</v>
      </c>
      <c r="I76" s="3" t="s">
        <v>339</v>
      </c>
      <c r="J76" s="3" t="s">
        <v>1205</v>
      </c>
      <c r="K76" s="3" t="s">
        <v>1206</v>
      </c>
      <c r="L76" s="3" t="s">
        <v>323</v>
      </c>
      <c r="M76" s="3" t="s">
        <v>1207</v>
      </c>
      <c r="N76" s="3" t="s">
        <v>1208</v>
      </c>
      <c r="O76" s="3" t="s">
        <v>48</v>
      </c>
      <c r="P76" s="3" t="s">
        <v>1209</v>
      </c>
      <c r="Q76" s="3" t="s">
        <v>49</v>
      </c>
      <c r="R76" s="3" t="s">
        <v>52</v>
      </c>
      <c r="S76" s="3" t="s">
        <v>51</v>
      </c>
      <c r="T76" s="3" t="s">
        <v>52</v>
      </c>
      <c r="U76" s="1" t="s">
        <v>1210</v>
      </c>
      <c r="V76" s="3" t="s">
        <v>1211</v>
      </c>
      <c r="W76" s="3" t="s">
        <v>42</v>
      </c>
      <c r="X76" s="3" t="s">
        <v>42</v>
      </c>
      <c r="Y76" s="3" t="s">
        <v>1212</v>
      </c>
      <c r="Z76" s="3" t="s">
        <v>1213</v>
      </c>
      <c r="AA76" s="3" t="s">
        <v>1214</v>
      </c>
      <c r="AB76" s="3" t="s">
        <v>1215</v>
      </c>
      <c r="AC76" s="3" t="s">
        <v>1216</v>
      </c>
      <c r="AD76" s="3"/>
      <c r="AE76" s="3" t="s">
        <v>51</v>
      </c>
      <c r="AF76" s="10">
        <v>46225</v>
      </c>
      <c r="AG76" s="3" t="s">
        <v>117</v>
      </c>
      <c r="AH76" s="3" t="s">
        <v>62</v>
      </c>
      <c r="AI76" s="3"/>
      <c r="AJ76" s="3" t="e">
        <f>LOWER(_xlfn.SINGLE(_xlfn.TEXTJOIN(" ", TRUE,#REF!, C76, E76, F76, G76, I76, J76, K76, L76, M76, N76, O76, P76, Q76, X76, Y76, Z76, AA76, AB76, AC76, AD76)))</f>
        <v>#REF!</v>
      </c>
    </row>
    <row r="77" spans="1:36" ht="71.25" customHeight="1">
      <c r="A77" s="1" t="s">
        <v>1217</v>
      </c>
      <c r="B77" s="8" t="s">
        <v>1218</v>
      </c>
      <c r="C77" s="3" t="s">
        <v>1062</v>
      </c>
      <c r="D77" s="13" t="s">
        <v>1219</v>
      </c>
      <c r="E77" s="12" t="s">
        <v>1220</v>
      </c>
      <c r="F77" s="3" t="s">
        <v>1221</v>
      </c>
      <c r="G77" s="3" t="s">
        <v>455</v>
      </c>
      <c r="H77" s="3" t="s">
        <v>137</v>
      </c>
      <c r="I77" s="3" t="s">
        <v>810</v>
      </c>
      <c r="J77" s="3" t="s">
        <v>1222</v>
      </c>
      <c r="K77" s="3" t="s">
        <v>1223</v>
      </c>
      <c r="L77" s="3" t="s">
        <v>323</v>
      </c>
      <c r="M77" s="3" t="s">
        <v>1224</v>
      </c>
      <c r="N77" s="3" t="s">
        <v>1225</v>
      </c>
      <c r="O77" s="3" t="s">
        <v>48</v>
      </c>
      <c r="P77" s="3" t="s">
        <v>1226</v>
      </c>
      <c r="Q77" s="3" t="s">
        <v>49</v>
      </c>
      <c r="R77" s="3" t="s">
        <v>52</v>
      </c>
      <c r="S77" s="3" t="s">
        <v>51</v>
      </c>
      <c r="T77" s="3" t="s">
        <v>51</v>
      </c>
      <c r="U77" s="1" t="s">
        <v>1227</v>
      </c>
      <c r="V77" s="3" t="s">
        <v>1228</v>
      </c>
      <c r="W77" s="3" t="s">
        <v>42</v>
      </c>
      <c r="X77" s="3" t="s">
        <v>42</v>
      </c>
      <c r="Y77" s="3" t="s">
        <v>1229</v>
      </c>
      <c r="Z77" s="3" t="s">
        <v>1230</v>
      </c>
      <c r="AA77" s="3" t="s">
        <v>1231</v>
      </c>
      <c r="AB77" s="3" t="s">
        <v>1232</v>
      </c>
      <c r="AC77" s="3" t="s">
        <v>1233</v>
      </c>
      <c r="AD77" s="3"/>
      <c r="AE77" s="3" t="s">
        <v>60</v>
      </c>
      <c r="AF77" s="10">
        <v>46225</v>
      </c>
      <c r="AG77" s="3" t="s">
        <v>117</v>
      </c>
      <c r="AH77" s="3" t="s">
        <v>62</v>
      </c>
      <c r="AI77" s="3"/>
      <c r="AJ77" s="3" t="str">
        <f>LOWER(_xlfn.SINGLE(_xlfn.TEXTJOIN(" ", TRUE, B77, C77, E77, F77, G77, I77, J77, K77, L77, M77, N77, O77, P77, Q77, X77, Y77, Z77, AA77, AB77, AC77, AD77)))</f>
        <v>epa brownfields site information epa public property-level information on brownfields addressed using epa funding or technical assistance, including property location, assessment activities, potential or confirmed contamination, cleanup progress, controls, redevelopment, and reuse accomplishments. public map, searchable property profiles, excel and csv downloads through cleanups in my community; full acres reporting system restricted to epa brownfields staff and authorized grant or contract recipients. open plus controlled data environmental exposure sdoh/geospatial; brownfields; contaminated sites; land revitalization; environmental justice; cleanup and remediation; redevelopment; property-level data; community development epa brownfields; acres; assessment cleanup and redevelopment exchange system; cleanups in my community; cimc; brownfield property; contaminated property; potentially contaminated site; site assessment; phase i assessment; phase ii assessment; cleanup completed; ready for reuse; redevelopment; land revitalization; institutional controls; engineering controls; brownfields grants; site proximity; south carolina brownfields geospatial/area-level brownfield properties; potentially contaminated land; property assessment; soil contamination; groundwater contamination; surface-water contamination; cleanup and remediation; institutional controls; engineering controls; land reuse; redevelopment; community revitalization; environmental justice residents and communities surrounding properties assessed, cleaned up, or redeveloped using epa brownfields funding or technical assistance united states brownfield property or site; grant jurisdiction; address; county; state other high property name; acres or program identifier; frs registry id where available; street address; city; county; state; zip code; latitude; longitude; census tract; property acreage; grant recipient; cooperative agreement or funding source; grant type; assessment activity and date; contaminants; affected environmental media; cleanup activity; cleanup-completion status; institutional controls; engineering controls; ready-for-reuse status; redevelopment activity; leveraged funding; property accomplishments locate epa-supported brownfields properties; construct property-proximity or buffer measures; characterize assessment, contamination, cleanup, and redevelopment status; examine whether brownfields are concentrated in socially vulnerable communities; study neighborhood context for hiv and other health disparities; identify properties near health-care or community-service locations; assess cleanup and reuse progress; link brownfields sites to demographic, environmental, and health indicators; identify sites requiring more detailed state or local review enviroatlas for brownfields; epa facility registry service; epa cleanups in my community; epa ejscreen; cdc/atsdr environmental justice index; american community survey; census tiger/line; epa echo; epa superfund enterprise management system; epa rcrainfo; epa toxics release inventory; state and tribal brownfields or voluntary-cleanup inventories; south carolina department of environmental services cleanup data not a comprehensive inventory of every brownfield or potentially contaminated property in the united states. public records primarily include properties benefiting from epa brownfields funding or technical assistance; state-funded, locally funded, privately managed, or otherwise unreported sites may be absent. a property can qualify as a brownfield because of potential contamination, so inclusion does not establish that contamination was confirmed. property reporting varies in completeness and timing. public records may describe administrative milestones rather than measured contaminant concentrations. multiple rows may represent the same property when it has multiple funding sources or accomplishments. coordinates may not represent the full property boundary. property proximity does not establish individual exposure or health risk. public property- and area-level environmental information contains no identifiable individual health records. the underlying acres entry system is restricted to authorized epa personnel and brownfields grant or contract recipients. linking brownfields locations to protected hiv, clinical, claims, or surveillance data requires compliance with the confidentiality, geocoding, suppression, irb, and data-use requirements of the health dataset. do not interpret residence near a listed property as confirmed exposure. document the extraction date, property-selection criteria, coordinate source, buffer or distance method, cleanup-status definition, and handling of duplicate property records.</v>
      </c>
    </row>
    <row r="78" spans="1:36" ht="71.25" customHeight="1">
      <c r="A78" s="1" t="s">
        <v>1234</v>
      </c>
      <c r="B78" s="9" t="s">
        <v>1235</v>
      </c>
      <c r="C78" s="3" t="s">
        <v>1062</v>
      </c>
      <c r="D78" s="4" t="s">
        <v>1236</v>
      </c>
      <c r="E78" s="1" t="s">
        <v>1237</v>
      </c>
      <c r="F78" s="3" t="s">
        <v>1238</v>
      </c>
      <c r="G78" s="3" t="s">
        <v>224</v>
      </c>
      <c r="H78" s="3" t="s">
        <v>62</v>
      </c>
      <c r="I78" s="3" t="s">
        <v>810</v>
      </c>
      <c r="J78" s="3" t="s">
        <v>1239</v>
      </c>
      <c r="K78" s="3" t="s">
        <v>1240</v>
      </c>
      <c r="L78" s="3" t="s">
        <v>795</v>
      </c>
      <c r="M78" s="3" t="s">
        <v>1241</v>
      </c>
      <c r="N78" s="3" t="s">
        <v>1242</v>
      </c>
      <c r="O78" s="3" t="s">
        <v>48</v>
      </c>
      <c r="P78" s="3" t="s">
        <v>1243</v>
      </c>
      <c r="Q78" s="3" t="s">
        <v>49</v>
      </c>
      <c r="R78" s="3" t="s">
        <v>52</v>
      </c>
      <c r="S78" s="3" t="s">
        <v>51</v>
      </c>
      <c r="T78" s="3" t="s">
        <v>51</v>
      </c>
      <c r="U78" s="1" t="s">
        <v>1244</v>
      </c>
      <c r="V78" s="3" t="s">
        <v>1245</v>
      </c>
      <c r="W78" s="3" t="s">
        <v>42</v>
      </c>
      <c r="X78" s="3" t="s">
        <v>42</v>
      </c>
      <c r="Y78" s="3" t="s">
        <v>1246</v>
      </c>
      <c r="Z78" s="3" t="s">
        <v>1247</v>
      </c>
      <c r="AA78" s="3" t="s">
        <v>1248</v>
      </c>
      <c r="AB78" s="3" t="s">
        <v>1249</v>
      </c>
      <c r="AC78" s="3" t="s">
        <v>1250</v>
      </c>
      <c r="AD78" s="3"/>
      <c r="AE78" s="3" t="s">
        <v>51</v>
      </c>
      <c r="AF78" s="10">
        <v>46224</v>
      </c>
      <c r="AG78" s="3" t="s">
        <v>117</v>
      </c>
      <c r="AH78" s="3" t="s">
        <v>42</v>
      </c>
      <c r="AI78" s="3" t="s">
        <v>63</v>
      </c>
      <c r="AJ78" s="3" t="str">
        <f>LOWER(_xlfn.SINGLE(_xlfn.TEXTJOIN(" ", TRUE, B78, C78, E78, F78, G78, I78, J78, K78, L78, M78, N78, O78, P78, Q78, X78, Y78, Z78, AA78, AB78, AC78, AD78)))</f>
        <v>water quality portal (wqp) epa national portal for discovering, querying, and downloading discrete physical, chemical, biological, and habitat-related water-quality monitoring results from epa, usgs, and state, tribal, federal, local, academic, watershed, and volunteer monitoring programs. public web query, downloadable csv, tab-delimited and excel files, geospatial services, and public rest web services; no registration required for data retrieval. open/public environmental exposure water quality; environmental monitoring; surface water; groundwater; sdoh/geospatial; aquatic ecosystems; drinking water; biological monitoring; monitoring-site data; time-series data water quality portal; wqp; water quality exchange; wqx; usgs nwis; water monitoring; surface water; groundwater; drinking water; stream; river; lake; reservoir; estuary; coastal water; monitoring station; sampling site; water chemistry; nutrients; metals; pfas; pesticides; pathogens; bacteria; biological monitoring; habitat; sediment; south carolina water quality environmental water chemistry; surface-water quality; groundwater quality; nutrients; metals; organic chemicals; pfas; pesticides; pharmaceuticals; pathogens; bacteria; physical water characteristics; sediment; aquatic biology; habitat assessment; drinking-water source quality; watershed condition water bodies, groundwater resources, sediments, aquatic organisms, and other environmental media represented by samples collected at monitoring locations united states monitoring site; water body; watershed/huc; county; state; other high contributing organization; monitoring-location identifier; monitoring-location name; site type; latitude; longitude; state; county; watershed/huc; sampling date and time; activity type; sample medium; characteristic name; result value; result unit; detection or reporting limit; analytical method; laboratory; sample depth; biological taxon; habitat measure; quality-assurance information; result status; data-source system identify water-monitoring locations and available contaminants; characterize surface-water or groundwater quality near communities; analyze temporal trends in nutrients, metals, pfas, pesticides, pathogens, or other constituents; examine environmental context for hiv and other health-disparity research; assess upstream or watershed conditions near drinking-water sources; compare south carolina watersheds or counties; support exposure screening, ecological research, and environmental-justice analyses epa water quality exchange; usgs national water information system; epa how's my waterway; epa attains; epa national hydrography dataset plus; epa safe drinking water information system; epa ucmr occurrence data; epa echo; epa ejscreen; cdc/atsdr environmental justice index; noaa climate data; american community survey; south carolina department of environmental services water-quality data data are contributed by many organizations and vary in sampling design, analytical methods, detection limits, units, quality-assurance procedures, monitoring frequency, and completeness. monitoring sites are not evenly distributed, and the absence of results does not establish the absence of contamination. discrete samples may not represent continuous conditions, short-term peaks, household tap-water exposure, or individual exposure. non-detects and censored values require careful treatment. results should not automatically be interpreted as regulatory violations or health risks. large or broad queries may require substantial processing and harmonization. public environmental monitoring data with no identifiable individual health records. researchers linking monitoring results to protected hiv, clinical, claims, or surveillance records must follow the confidentiality, geocoding, suppression, irb, and data-use requirements of the health dataset. document the contributing organization, site-selection method, sampling period, characteristic names, units, detection-limit treatment, analytical methods, quality flags, and extraction date.</v>
      </c>
    </row>
    <row r="79" spans="1:36" ht="114" customHeight="1">
      <c r="A79" s="1" t="s">
        <v>1251</v>
      </c>
      <c r="B79" s="9" t="s">
        <v>1252</v>
      </c>
      <c r="C79" s="3" t="s">
        <v>1253</v>
      </c>
      <c r="D79" s="14" t="s">
        <v>1254</v>
      </c>
      <c r="E79" s="12" t="s">
        <v>1255</v>
      </c>
      <c r="F79" t="s">
        <v>1256</v>
      </c>
      <c r="G79" t="s">
        <v>224</v>
      </c>
      <c r="H79" t="s">
        <v>137</v>
      </c>
      <c r="I79" s="3" t="s">
        <v>810</v>
      </c>
      <c r="J79" s="3" t="s">
        <v>1257</v>
      </c>
      <c r="K79" s="3" t="s">
        <v>1258</v>
      </c>
      <c r="L79" s="3" t="s">
        <v>290</v>
      </c>
      <c r="M79" s="3" t="s">
        <v>1259</v>
      </c>
      <c r="N79" s="3" t="s">
        <v>1260</v>
      </c>
      <c r="O79" s="3" t="s">
        <v>48</v>
      </c>
      <c r="P79" s="3" t="s">
        <v>1261</v>
      </c>
      <c r="Q79" s="3" t="s">
        <v>294</v>
      </c>
      <c r="R79" s="3" t="s">
        <v>52</v>
      </c>
      <c r="S79" s="3" t="s">
        <v>51</v>
      </c>
      <c r="T79" s="3" t="s">
        <v>51</v>
      </c>
      <c r="U79" s="1" t="s">
        <v>1262</v>
      </c>
      <c r="V79" s="3" t="s">
        <v>1263</v>
      </c>
      <c r="W79" s="3" t="s">
        <v>62</v>
      </c>
      <c r="X79" s="3" t="s">
        <v>42</v>
      </c>
      <c r="Y79" s="3" t="s">
        <v>1264</v>
      </c>
      <c r="Z79" s="3" t="s">
        <v>1265</v>
      </c>
      <c r="AA79" s="3" t="s">
        <v>1266</v>
      </c>
      <c r="AB79" s="3" t="s">
        <v>1267</v>
      </c>
      <c r="AC79" s="3" t="s">
        <v>1268</v>
      </c>
      <c r="AD79" s="3"/>
      <c r="AE79" s="3" t="s">
        <v>60</v>
      </c>
      <c r="AF79" s="10">
        <v>46225</v>
      </c>
      <c r="AG79" s="3" t="s">
        <v>117</v>
      </c>
      <c r="AH79" s="3" t="s">
        <v>62</v>
      </c>
      <c r="AI79" s="3"/>
      <c r="AJ79" s="3" t="str">
        <f>LOWER(_xlfn.SINGLE(_xlfn.TEXTJOIN(" ", TRUE, B79, C79, E80, F80, G80, I79, J79, K79, L79, M79, N79, O79, P79, Q79, X79, Y79, Z79, AA79, AB79, AC79, AD79)))</f>
        <v>how's my waterway epa / data.gov national system for accessing state-, territory-, and authorized tribal assessments of surface-water condition, designated-use support, impaired-water decisions, causes and probable sources of impairment, total maximum daily loads, restoration plans, and protection approaches under the clean water act. public expert query, downloadable excel and csv extracts, rest/json web services, arcgis geospatial services, and national geospatial exports; some web-service workflows are transitioning to a free api key. the data-submission and review interface is restricted to registered state, tribal, and epa users. open/public environmental exposure reports/dashboard; sdoh/geospatial; water quality; watersheds; impaired waters; drinking water; permitted dischargers; water monitoring; restoration; environmental justice; public communication epa how's my waterway; local water quality; watershed condition; community water report; swimming water quality; fish consumption; aquatic life; impaired water; 303(d); tmdl; permitted discharger; discharge violation; drinking water; water monitoring; monitoring station; cyanobacteria; harmful algal bloom; watershed restoration; huc12; south carolina water quality reports/dashboard surface-water condition; swimming; fish consumption; aquatic life; impairments; causes of impairment; restoration and protection; permitted wastewater dischargers; discharge violations; drinking-water systems; water monitoring; cyanobacteria; watershed health; state and national water metrics residents, water users, and communities associated with u.s. watersheds, waterbodies, states, territories, and tribal areas represented in the application united states huc12 watershed; waterbody; community; state; tribal area; national report/dashboard high selected huc12 watershed; waterbody name; waterbody condition; designated uses; use-support status; assessed and impaired-water status; cause of impairment; 303(d) listing status; tmdl and restoration actions; swimming and fish-consumption information; aquatic-life condition; permitted discharger name and permit type; discharge violations; monitoring-location identifier; monitored characteristic; result date and value; drinking-water system information; state drinking-water metrics; cyanobacteria estimates; watershed health and protection indicators rapidly profile water conditions in a community or watershed; identify impaired waters and relevant designated uses; explore swimming, fishing, and aquatic-life concerns; locate permitted dischargers and reported violations; identify nearby monitoring stations and available characteristics; review restoration and protection activities; communicate findings to community partners; generate hypotheses before downloading data from attains, wqp, echo, or drinking-water systems; support public-health and environmental-justice demonstrations epa attains; water quality portal; epa echo and npdes data; epa safe drinking water information system; epa waters/nhdplus; epa cyan; epa beacon; epa national aquatic resource surveys; epa recovery potential screening; epa enviroatlas; american community survey; south carolina department of environmental services water data integrated dashboard rather than one standardized dataset. its components come from multiple agencies and epa systems with different definitions, geographic units, methods, coverage, and refresh schedules. epa cautions that more recent or detailed information may exist outside the application. dashboard categories may simplify or roll up the original state-reported information. monitoring-site coverage is uneven, and displayed results do not establish individual exposure, regulatory noncompliance, or health risk. maps and reports are useful for discovery and communication, but substantive analyses should retrieve and document the underlying source records. public dashboard and area-level information with no identifiable individual health records. linking dashboard-derived geographic indicators to protected hiv, clinical, claims, or surveillance data requires compliance with the governance requirements of the health dataset. avoid treating watershed or community conditions as individual attributes. document the selected location, watershed, dashboard section, originating dataset, extraction date, reporting period, and spatial-linkage method.</v>
      </c>
    </row>
    <row r="80" spans="1:36" ht="85.5" customHeight="1">
      <c r="A80" s="1" t="s">
        <v>1269</v>
      </c>
      <c r="B80" s="8" t="s">
        <v>1270</v>
      </c>
      <c r="C80" s="3" t="s">
        <v>1253</v>
      </c>
      <c r="D80" s="4" t="s">
        <v>1271</v>
      </c>
      <c r="E80" s="1" t="s">
        <v>1272</v>
      </c>
      <c r="F80" s="3" t="s">
        <v>1273</v>
      </c>
      <c r="G80" s="3" t="s">
        <v>224</v>
      </c>
      <c r="H80" s="3" t="s">
        <v>62</v>
      </c>
      <c r="I80" s="3" t="s">
        <v>810</v>
      </c>
      <c r="J80" s="3" t="s">
        <v>1274</v>
      </c>
      <c r="K80" s="3" t="s">
        <v>1275</v>
      </c>
      <c r="L80" s="3" t="s">
        <v>323</v>
      </c>
      <c r="M80" s="3" t="s">
        <v>1276</v>
      </c>
      <c r="N80" s="3" t="s">
        <v>1277</v>
      </c>
      <c r="O80" s="3" t="s">
        <v>48</v>
      </c>
      <c r="P80" s="3" t="s">
        <v>1278</v>
      </c>
      <c r="Q80" s="3" t="s">
        <v>49</v>
      </c>
      <c r="R80" s="3" t="s">
        <v>52</v>
      </c>
      <c r="S80" s="3" t="s">
        <v>51</v>
      </c>
      <c r="T80" s="3" t="s">
        <v>51</v>
      </c>
      <c r="U80" s="1" t="s">
        <v>1279</v>
      </c>
      <c r="V80" s="3" t="s">
        <v>1280</v>
      </c>
      <c r="W80" s="3" t="s">
        <v>42</v>
      </c>
      <c r="X80" s="3" t="s">
        <v>42</v>
      </c>
      <c r="Y80" s="3" t="s">
        <v>1281</v>
      </c>
      <c r="Z80" s="3" t="s">
        <v>1282</v>
      </c>
      <c r="AA80" s="3" t="s">
        <v>1283</v>
      </c>
      <c r="AB80" s="3" t="s">
        <v>1284</v>
      </c>
      <c r="AC80" s="3" t="s">
        <v>1285</v>
      </c>
      <c r="AD80" s="3"/>
      <c r="AE80" s="3" t="s">
        <v>60</v>
      </c>
      <c r="AF80" s="10">
        <v>46225</v>
      </c>
      <c r="AG80" s="3" t="s">
        <v>117</v>
      </c>
      <c r="AH80" s="3" t="s">
        <v>42</v>
      </c>
      <c r="AI80" s="3" t="s">
        <v>63</v>
      </c>
      <c r="AJ80" s="3" t="e">
        <f>LOWER(_xlfn.SINGLE(_xlfn.TEXTJOIN(" ", TRUE, B80, C80,#REF!,#REF!,#REF!, I80, J80, K80, L80, M80, N80, O80, P80, Q80, X80, Y80, Z80, AA80, AB80, AC80, AD80)))</f>
        <v>#REF!</v>
      </c>
    </row>
    <row r="81" spans="1:36" ht="85.5" customHeight="1">
      <c r="A81" s="1" t="s">
        <v>1286</v>
      </c>
      <c r="B81" s="9" t="s">
        <v>1287</v>
      </c>
      <c r="C81" s="3" t="s">
        <v>1288</v>
      </c>
      <c r="D81" s="4" t="s">
        <v>1289</v>
      </c>
      <c r="E81" s="1" t="s">
        <v>1290</v>
      </c>
      <c r="F81" s="3" t="s">
        <v>1291</v>
      </c>
      <c r="G81" s="3" t="s">
        <v>224</v>
      </c>
      <c r="H81" s="3" t="s">
        <v>62</v>
      </c>
      <c r="I81" s="3" t="s">
        <v>810</v>
      </c>
      <c r="J81" s="3" t="s">
        <v>1292</v>
      </c>
      <c r="K81" s="3" t="s">
        <v>1293</v>
      </c>
      <c r="L81" s="3" t="s">
        <v>323</v>
      </c>
      <c r="M81" s="3" t="s">
        <v>1294</v>
      </c>
      <c r="N81" s="3" t="s">
        <v>1295</v>
      </c>
      <c r="O81" s="3" t="s">
        <v>48</v>
      </c>
      <c r="P81" s="3" t="s">
        <v>1296</v>
      </c>
      <c r="Q81" s="3" t="s">
        <v>49</v>
      </c>
      <c r="R81" s="3" t="s">
        <v>52</v>
      </c>
      <c r="S81" s="3" t="s">
        <v>51</v>
      </c>
      <c r="T81" s="3" t="s">
        <v>52</v>
      </c>
      <c r="U81" s="1" t="s">
        <v>1297</v>
      </c>
      <c r="V81" s="3" t="s">
        <v>1298</v>
      </c>
      <c r="W81" s="3" t="s">
        <v>42</v>
      </c>
      <c r="X81" s="3" t="s">
        <v>42</v>
      </c>
      <c r="Y81" s="3" t="s">
        <v>1299</v>
      </c>
      <c r="Z81" s="3" t="s">
        <v>1300</v>
      </c>
      <c r="AA81" s="3" t="s">
        <v>1301</v>
      </c>
      <c r="AB81" s="3" t="s">
        <v>1302</v>
      </c>
      <c r="AC81" s="3" t="s">
        <v>1303</v>
      </c>
      <c r="AD81" s="3"/>
      <c r="AE81" s="3" t="s">
        <v>60</v>
      </c>
      <c r="AF81" s="10">
        <v>46225</v>
      </c>
      <c r="AG81" s="3" t="s">
        <v>117</v>
      </c>
      <c r="AH81" s="3" t="s">
        <v>62</v>
      </c>
      <c r="AI81" s="3" t="s">
        <v>63</v>
      </c>
      <c r="AJ81" s="3" t="str">
        <f>LOWER(_xlfn.SINGLE(_xlfn.TEXTJOIN(" ", TRUE, B81, C81, E81, F81, G81, I81, J81, K81, L81, M81, N81, O81, P81, Q81, X81, Y81, Z81, AA81, AB81, AC81, AD81)))</f>
        <v>epa waters geospatial data usgs / epa / nwqmc national geospatial framework providing hydrologically connected gis datasets, stream networks, catchments, watersheds, assessment units, and linked epa water-program layers for watershed delineation, upstream/downstream tracing, spatial analysis, and integration of epa water data. public geodatabases, shapefiles, feature services, arcgis rest services, downloadable gis layers, and web services. open/public environmental exposure sdoh/geospatial; hydrography; watersheds; stream network; gis; nhdplus; catchments; water resources; spatial analysis; hydrologic modeling epa waters; watershed assessment tracking and environmental results system; nhdplus; hydrologic network; stream reach; flowline; catchment; watershed; huc; watershed delineation; upstream downstream analysis; hydrologic tracing; geospatial water data; gis water layers; epa hydrography; waterbody polygons; assessment units geospatial/area-level hydrography; stream networks; watersheds; catchments; hydrologic connectivity; waterbody geometry; assessment-unit boundaries; watershed delineation; flow-path analysis; gis integration; environmental spatial analysis surface-water features and hydrologic units represented in the national hydrographic network united states stream reach; flowline; catchment; watershed/huc; assessment unit; waterbody other high nhdplus comid; reachcode; gnis identifier; huc2/huc4/huc8/huc10/huc12; stream name; flow direction; stream order; catchment identifier; watershed identifier; assessment-unit identifier; geometry; latitude; longitude; linked attains assessment units; linked monitoring locations; linked npdes facilities; linked epa water-program identifiers create watershed and catchment boundaries; perform upstream/downstream tracing; delineate contributing watersheds; spatially join environmental and health data to hydrologic units; identify stream networks connected to monitoring stations, impaired waters, or discharge locations; prepare gis analyses and maps; support watershed-scale environmental-health studies epa attains; epa how's my waterway; water quality portal; epa nhdplus; epa echo/npdes; epa safe drinking water information system; epa enviroatlas; usgs national hydrography dataset; american community survey; census tiger/line waters is a geospatial infrastructure resource rather than a water-quality monitoring or regulatory database. most downloaded layers contain geometry, identifiers, and spatial relationships instead of contaminant measurements or assessment results. some linked datasets are maintained separately and may update on different schedules. watershed boundaries, hydrography, and assessment units may change between versions. spatial proximity or hydrologic connectivity should not be interpreted as evidence of contaminant transport or human exposure without supporting environmental data. public geospatial data with no identifiable individual health records. when linking waters layers to protected hiv, clinical, claims, or surveillance data, follow applicable confidentiality, geocoding, suppression, irb, and data-use requirements. document the waters version, nhdplus version, coordinate system, geographic layer used, and spatial-linkage method.</v>
      </c>
    </row>
    <row r="82" spans="1:36" ht="85.5" customHeight="1">
      <c r="A82" s="1" t="s">
        <v>1304</v>
      </c>
      <c r="B82" s="8" t="s">
        <v>1305</v>
      </c>
      <c r="C82" s="3" t="s">
        <v>1062</v>
      </c>
      <c r="D82" s="4" t="s">
        <v>1306</v>
      </c>
      <c r="E82" s="1" t="s">
        <v>1307</v>
      </c>
      <c r="F82" s="3" t="s">
        <v>1308</v>
      </c>
      <c r="G82" s="3" t="s">
        <v>224</v>
      </c>
      <c r="H82" s="3" t="s">
        <v>62</v>
      </c>
      <c r="I82" s="3" t="s">
        <v>810</v>
      </c>
      <c r="J82" s="3" t="s">
        <v>1309</v>
      </c>
      <c r="K82" s="3" t="s">
        <v>1310</v>
      </c>
      <c r="L82" s="3" t="s">
        <v>795</v>
      </c>
      <c r="M82" s="3" t="s">
        <v>1311</v>
      </c>
      <c r="N82" s="3" t="s">
        <v>1312</v>
      </c>
      <c r="O82" s="3" t="s">
        <v>48</v>
      </c>
      <c r="P82" s="3" t="s">
        <v>1313</v>
      </c>
      <c r="Q82" s="3" t="s">
        <v>49</v>
      </c>
      <c r="R82" s="3" t="s">
        <v>52</v>
      </c>
      <c r="S82" s="3" t="s">
        <v>51</v>
      </c>
      <c r="T82" s="3" t="s">
        <v>51</v>
      </c>
      <c r="U82" s="1" t="s">
        <v>1314</v>
      </c>
      <c r="V82" s="3" t="s">
        <v>1315</v>
      </c>
      <c r="W82" s="3" t="s">
        <v>42</v>
      </c>
      <c r="X82" s="3" t="s">
        <v>42</v>
      </c>
      <c r="Y82" s="3" t="s">
        <v>1316</v>
      </c>
      <c r="Z82" s="3" t="s">
        <v>1317</v>
      </c>
      <c r="AA82" s="3" t="s">
        <v>1318</v>
      </c>
      <c r="AB82" s="3" t="s">
        <v>1319</v>
      </c>
      <c r="AC82" s="3" t="s">
        <v>1320</v>
      </c>
      <c r="AD82" s="3"/>
      <c r="AE82" s="3" t="s">
        <v>51</v>
      </c>
      <c r="AF82" s="10">
        <v>46226</v>
      </c>
      <c r="AG82" s="3" t="s">
        <v>117</v>
      </c>
      <c r="AH82" s="3" t="s">
        <v>42</v>
      </c>
      <c r="AI82" s="3" t="s">
        <v>63</v>
      </c>
      <c r="AJ82" s="3" t="str">
        <f>LOWER(_xlfn.SINGLE(_xlfn.TEXTJOIN(" ", TRUE, B82, C82, E82, F82, G82, I82, J82, K82, L82, M82, N82, O82, P82, Q82, X82, Y82, Z82, AA82, AB82, AC82, AD82)))</f>
        <v>usgs water data for the nation / nwis epa national access system for current and historical usgs hydrologic and water-quality information collected at monitoring locations, including continuous sensor data, daily values, manual field measurements, discrete environmental samples, monitoring-site metadata, and derived statistics. public monitoring-location pages, maps, graphs, tables, data downloads, national water dashboard, rest/ogc apis, and r/python data-access tools; an api key is available for higher request-rate limits. open/public environmental exposure water quality; hydrology; surface water; groundwater; streamflow; water levels; environmental monitoring; sdoh/geospatial; monitoring-site data; time-series data; real-time data usgs water data for the nation; wdfn; national water information system; nwis; nwisweb; usgs water data; streamgage; streamflow; discharge; gage height; river level; lake level; reservoir level; groundwater level; well data; spring data; water quality; continuous data; instantaneous values; daily values; field measurements; discrete samples; national water dashboard; water data apis; south carolina water data environmental streamflow; river and stream levels; lakes and reservoirs; groundwater levels; wells and aquifers; floods; drought; precipitation; water temperature; physical water quality; chemical water quality; sediment; biological samples; hydrologic statistics surface waters, groundwater systems, and associated communities represented by usgs monitoring locations across u.s. states and territories united states monitoring location; streamgage; well; spring; lake or reservoir site; county; watershed/huc other high usgs monitoring-location identifier; station name; collecting agency; site type; site establishment date; latitude; longitude; state; county; hydrologic unit code; well depth; aquifer; parameter or observed-property name; parameter code; date and time; measured value; units; statistic code; qualifier; approval status; discharge or streamflow; gage height; lake or reservoir elevation; groundwater level; precipitation; water temperature; ph; specific conductance; dissolved oxygen; turbidity; nutrients; metals; pesticides; volatile organic compounds; sediment measurements; biological and tissue sample results monitor current river, lake, reservoir, and groundwater conditions; analyze long-term streamflow and groundwater trends; characterize floods and droughts; estimate hydrologic or water-quality exposures; examine relationships between water conditions and infectious, gastrointestinal, cardiovascular, or other health outcomes; assess environmental context for communities affected by hiv or other health disparities; link monitoring data with watersheds, permitted dischargers, demographics, climate, and health outcomes; support water-resource planning and environmental epidemiology water quality portal; usgs national water dashboard; epa waters/nhdplus; epa attains; epa how's my waterway; epa echo/npdes; epa safe drinking water information system; prism climate data; noaa climate and precipitation data; american community survey; south carolina department of environmental services water data monitoring locations are not evenly distributed, and available parameters, record lengths, sampling frequencies, and operating periods differ substantially by site. a monitoring-site measurement may not represent conditions throughout an entire stream, aquifer, watershed, drinking-water system, household, or individual. continuous and daily records may contain gaps caused by equipment failure, telemetry interruption, site changes, or discontinued monitoring. historical comparability can be affected by changes in instruments, methods, rating curves, site location, parameter definitions, or sampling practices. recent data may be provisional and subject to substantial revision following field inspection and quality review. discrete samples may have varying analytical methods, reporting limits, qualifiers, and sampling designs. large multi-site analyses require careful handling of parameter codes, statistic codes, units, approval status, and missingness. public environmental monitoring data with no identifiable individual health records. provisional values should be identified as such and should not be treated as final approved records for high-stakes decisions. researchers linking monitoring locations to protected hiv, clinical, claims, or surveillance records must follow the confidentiality, geocoding, suppression, irb, and data-use requirements of the health dataset. do not interpret a monitoring-site value as an individually measured exposure. document the monitoring locations, parameters, statistic codes, date range, approval status, extraction date, spatial-linkage method, and api or interface used.</v>
      </c>
    </row>
    <row r="83" spans="1:36" ht="85.5" customHeight="1">
      <c r="A83" s="1" t="s">
        <v>1321</v>
      </c>
      <c r="B83" s="9" t="s">
        <v>1322</v>
      </c>
      <c r="C83" s="3" t="s">
        <v>1062</v>
      </c>
      <c r="D83" s="4" t="s">
        <v>1323</v>
      </c>
      <c r="E83" s="1" t="s">
        <v>1324</v>
      </c>
      <c r="F83" s="3" t="s">
        <v>1325</v>
      </c>
      <c r="G83" s="3"/>
      <c r="H83" s="3"/>
      <c r="I83" t="s">
        <v>810</v>
      </c>
      <c r="J83" s="3" t="s">
        <v>1326</v>
      </c>
      <c r="K83" s="3" t="s">
        <v>1327</v>
      </c>
      <c r="L83" s="3" t="s">
        <v>795</v>
      </c>
      <c r="M83" s="3" t="s">
        <v>1328</v>
      </c>
      <c r="N83" s="3" t="s">
        <v>1329</v>
      </c>
      <c r="O83" s="3" t="s">
        <v>197</v>
      </c>
      <c r="P83" s="3" t="s">
        <v>1330</v>
      </c>
      <c r="Q83" s="3" t="s">
        <v>49</v>
      </c>
      <c r="R83" s="3" t="s">
        <v>52</v>
      </c>
      <c r="S83" s="3" t="s">
        <v>51</v>
      </c>
      <c r="T83" s="3" t="s">
        <v>51</v>
      </c>
      <c r="U83" s="1" t="s">
        <v>1331</v>
      </c>
      <c r="V83" s="3" t="s">
        <v>1332</v>
      </c>
      <c r="W83" s="3" t="s">
        <v>42</v>
      </c>
      <c r="X83" s="3" t="s">
        <v>42</v>
      </c>
      <c r="Y83" s="3" t="s">
        <v>1333</v>
      </c>
      <c r="Z83" s="3" t="s">
        <v>1334</v>
      </c>
      <c r="AA83" s="3" t="s">
        <v>1335</v>
      </c>
      <c r="AB83" s="3" t="s">
        <v>1336</v>
      </c>
      <c r="AC83" s="3" t="s">
        <v>1337</v>
      </c>
      <c r="AD83" s="3"/>
      <c r="AE83" s="3" t="s">
        <v>51</v>
      </c>
      <c r="AF83" s="10">
        <v>46225</v>
      </c>
      <c r="AG83" s="3"/>
      <c r="AH83" s="3" t="s">
        <v>62</v>
      </c>
      <c r="AI83" s="3"/>
      <c r="AJ83" s="3" t="str">
        <f>LOWER(_xlfn.SINGLE(_xlfn.TEXTJOIN(" ", TRUE, B83, C83, E83, F83, G83, I83, J83, K83, L83, M83, N83, O83, P83, Q83, X83, Y83, Z83, AA83, AB83, AC83, AD83)))</f>
        <v>noaa climate data online (cdo) epa portal for discovering and downloading observed historical weather and climate data and station metadata from multiple noaa/ncei collections, including daily, monthly, seasonal, annual, hourly, radar, precipitation, and climate-normal products. public search and mapping tools, free data orders and downloads, dataset-specific tools, bulk files, and web services; the cdo api requires a free email-issued token; certified copies for legal use may require payment. environmental exposure climate; weather; temperature; precipitation; wind; snow; humidity; climate normals; environmental monitoring; station data; time-series data; sdoh/geospatial noaa climate data online; noaa cdo; ncei; ncdc; historical weather; past weather; weather station; station history; ghcn-daily; ghcnd; global summary of the month; gsom; global summary of the year; gsoy; local climatological data; lcd; climate normals; daily summaries; hourly weather; precipitation; temperature; snowfall; wind; degree days; radar; south carolina weather environmental temperature; extreme heat; extreme cold; precipitation; heavy rainfall; drought-related conditions; snowfall; snow depth; wind; humidity; dew point; atmospheric pressure; degree days; climate normals; routine weather observations; radar observations weather-observing locations and surrounding land areas and populations worldwide global/international weather station; city; county; state; country, depending on dataset and search other high dataset identifier; station identifier; station name; station network; latitude; longitude; elevation; date and time; maximum temperature; minimum temperature; average temperature; precipitation; snowfall; snow depth; wind speed; wind direction; wind gust; dew point; relative humidity; sea-level pressure; station pressure; heating degree days; cooling degree days; weather type; climate normals; observation flags; source flags; quality-control flags assign observed weather exposures to residences, clinics, counties, or other study locations; analyze heat, cold, precipitation, humidity, snowfall, and wind; evaluate weather-related changes in mortality, morbidity, hiv clinic attendance, care access, or medication continuity; control for weather in air-pollution and infectious-disease models; calculate extreme-weather thresholds and lagged exposures; validate prism or other gridded climate products; compare observed conditions with climate normals prism climate data; noaa storm events database; ghcn-daily; noaa local climatological data; noaa u.s. climate normals; cdc heat and health tracker; epa airdata/aqs; usgs water data for the nation; american community survey; daymet; gridmet cdo is an umbrella portal rather than one standardized dataset. variables, temporal resolution, geographic coverage, units, quality-control procedures, and update schedules differ by collection and station. weather stations are unevenly distributed, and point observations may not represent conditions throughout a census area or an individual's actual exposure. records may contain missing values, quality flags, reporting interruptions, station moves, instrumentation changes, and observation-time changes. recent observations can be revised as quality-control processing continues. large multi-station extractions may be easier through dataset-specific bulk archives than through the cdo cart or api. some international products may carry additional use conditions. public environmental data with no identifiable individual health records. a free api token is required for cdo web services, with request-rate and daily limits. researchers should document the underlying dataset, station identifiers, station network, variables, units, quality flags, temporal resolution, extraction method, and access date. follow any dataset-specific conditions applicable to international observations. when linking station observations to protected health records, follow the governance requirements of the health dataset and do not describe station measurements as personally measured exposure.</v>
      </c>
    </row>
    <row r="84" spans="1:36" ht="71.25" customHeight="1">
      <c r="A84" s="1" t="s">
        <v>1338</v>
      </c>
      <c r="B84" s="8" t="s">
        <v>1339</v>
      </c>
      <c r="C84" s="3" t="s">
        <v>1340</v>
      </c>
      <c r="D84" s="4" t="s">
        <v>1341</v>
      </c>
      <c r="E84" s="1" t="s">
        <v>1342</v>
      </c>
      <c r="F84" s="3" t="s">
        <v>1343</v>
      </c>
      <c r="G84" s="3" t="s">
        <v>224</v>
      </c>
      <c r="H84" s="3" t="s">
        <v>137</v>
      </c>
      <c r="I84" s="3" t="s">
        <v>810</v>
      </c>
      <c r="J84" s="3" t="s">
        <v>1344</v>
      </c>
      <c r="K84" s="3" t="s">
        <v>1345</v>
      </c>
      <c r="L84" s="3" t="s">
        <v>795</v>
      </c>
      <c r="M84" s="3" t="s">
        <v>1346</v>
      </c>
      <c r="N84" s="3" t="s">
        <v>1347</v>
      </c>
      <c r="O84" s="3" t="s">
        <v>48</v>
      </c>
      <c r="P84" s="3" t="s">
        <v>293</v>
      </c>
      <c r="Q84" s="3" t="s">
        <v>293</v>
      </c>
      <c r="R84" s="3" t="s">
        <v>52</v>
      </c>
      <c r="S84" s="3" t="s">
        <v>51</v>
      </c>
      <c r="T84" s="3" t="s">
        <v>51</v>
      </c>
      <c r="U84" s="1" t="s">
        <v>1348</v>
      </c>
      <c r="V84" s="3" t="s">
        <v>1349</v>
      </c>
      <c r="W84" s="3" t="s">
        <v>42</v>
      </c>
      <c r="X84" s="3" t="s">
        <v>42</v>
      </c>
      <c r="Y84" s="3" t="s">
        <v>1350</v>
      </c>
      <c r="Z84" s="3" t="s">
        <v>1351</v>
      </c>
      <c r="AA84" s="3" t="s">
        <v>1352</v>
      </c>
      <c r="AB84" s="3" t="s">
        <v>1353</v>
      </c>
      <c r="AC84" s="3" t="s">
        <v>1354</v>
      </c>
      <c r="AD84" s="3"/>
      <c r="AE84" s="3" t="s">
        <v>51</v>
      </c>
      <c r="AF84" s="10">
        <v>46226</v>
      </c>
      <c r="AG84" s="3" t="s">
        <v>117</v>
      </c>
      <c r="AH84" s="3" t="s">
        <v>42</v>
      </c>
      <c r="AI84" s="3"/>
      <c r="AJ84" s="3" t="str">
        <f>LOWER(_xlfn.SINGLE(_xlfn.TEXTJOIN(" ", TRUE, B84, C84, E84, F84, G84, I84, J84, K84, L84, M84, N84, O84, P84, Q84, X84, Y84, Z84, AA84, AB84, AC84, AD84)))</f>
        <v>noaa nclimgrid daily / epinoaa county dataset usgs analysis-ready daily county-level time series of area-averaged maximum, minimum, and mean temperature and precipitation derived from noaa nclimgrid-daily for climate monitoring, epidemiologic exposure assignment, and longitudinal public-health research. public direct csv and parquet downloads through noaa-hosted cloud storage; r package and interactive access options are also available; no registration or credentials required. open/public environmental exposure climate; weather; extreme heat; extreme cold; precipitation; county-level data; sdoh/geospatial; analysis-ready data; time-series data; epidemiology noaa nclimgrid-daily; nclimgrid daily; epinoaa; county climate; daily weather; daily maximum temperature; tmax; daily minimum temperature; tmin; daily average temperature; tavg; daily precipitation; prcp; extreme heat; extreme cold; heavy rainfall; county climate exposure; area average; conus; ghcn-daily; climate epidemiology; ncics; cisess environmental daily temperature; extreme heat; extreme cold; precipitation; heavy rainfall; drought-related conditions; flood-related climate conditions; climate variability; weather exposure residents and land areas of counties in the contiguous united states, represented through county-area-average daily climate estimates united states county county high date; year; month; day; county or regional identifier; county name; state identifier; daily maximum temperature (tmax, °c); daily minimum temperature (tmin, °c); daily average temperature (tavg, °c); daily precipitation amount (prcp, mm); preliminary or scaled data status; product version assign daily county-level heat, cold, and precipitation exposures to health records; examine heat-related illness, mortality, hospitalization, or emergency-care use; study weather-related disruptions in hiv clinic attendance, medication access, care retention, or viral-load testing; conduct time-series, case-crossover, distributed-lag, or county-panel analyses; identify heavy-rainfall and extreme-temperature periods; control for weather in air-pollution, infectious-disease, or health-services research; compare climate exposures across south carolina counties noaa climate data online; global historical climatology network-daily; prism climate data; noaa storm events database; cdc heat and health tracker; cdc environmental public health tracking network; epa airdata/aqs; usgs water data for the nation; american community survey; cdc places; county-level health surveillance, claims, or hospitalization data modeled and interpolated estimates derived from weather-station observations rather than direct measurements in every county. county values are spatial area averages and are not population-weighted; they can obscure within-county variation, urban heat islands, elevation differences, and localized rainfall extremes. the source covers the contiguous united states and excludes alaska, hawaii, and u.s. territories. available climate variables are limited to maximum, minimum, and average temperature and precipitation; humidity, heat index, wind, and solar radiation are not included. preliminary observations may change as additional station data are received and quality-control processing is completed. interpolation smooths local extremes and can introduce precipitation bias. noaa discourages interpreting an individual grid-point value on a single day as the exact condition at that location. public non-human environmental data with no individual privacy restrictions. cite noaa nclimgrid-daily and record the epinoaa access date. document the product version, preliminary-versus-scaled status, units, county identifier or crosswalk, extraction dates, and construction of derived exposure variables. when linking county estimates to protected health records, follow the governance requirements of the health dataset and do not describe county averages as personally measured exposure.</v>
      </c>
    </row>
    <row r="85" spans="1:36" ht="57" customHeight="1">
      <c r="A85" s="1" t="s">
        <v>1355</v>
      </c>
      <c r="B85" s="9" t="s">
        <v>1356</v>
      </c>
      <c r="C85" t="s">
        <v>1357</v>
      </c>
      <c r="D85" s="13" t="s">
        <v>1358</v>
      </c>
      <c r="E85" s="12" t="s">
        <v>1359</v>
      </c>
      <c r="F85" s="3" t="s">
        <v>1360</v>
      </c>
      <c r="G85" s="3" t="s">
        <v>905</v>
      </c>
      <c r="H85" s="3" t="s">
        <v>62</v>
      </c>
      <c r="I85" s="3" t="s">
        <v>810</v>
      </c>
      <c r="J85" s="3" t="s">
        <v>1361</v>
      </c>
      <c r="K85" s="3"/>
      <c r="L85" s="3" t="s">
        <v>795</v>
      </c>
      <c r="M85" s="3" t="s">
        <v>1362</v>
      </c>
      <c r="N85" s="3" t="s">
        <v>1363</v>
      </c>
      <c r="O85" s="3" t="s">
        <v>48</v>
      </c>
      <c r="P85" s="3" t="s">
        <v>1364</v>
      </c>
      <c r="Q85" s="3" t="s">
        <v>49</v>
      </c>
      <c r="R85" s="3" t="s">
        <v>52</v>
      </c>
      <c r="S85" s="3" t="s">
        <v>51</v>
      </c>
      <c r="T85" s="3" t="s">
        <v>51</v>
      </c>
      <c r="U85" s="1" t="s">
        <v>1365</v>
      </c>
      <c r="V85" s="3" t="s">
        <v>1366</v>
      </c>
      <c r="W85" s="3" t="s">
        <v>42</v>
      </c>
      <c r="X85" s="3" t="s">
        <v>42</v>
      </c>
      <c r="Y85" s="3" t="s">
        <v>1367</v>
      </c>
      <c r="Z85" s="3" t="s">
        <v>1368</v>
      </c>
      <c r="AA85" s="3" t="s">
        <v>1369</v>
      </c>
      <c r="AB85" s="3" t="s">
        <v>1370</v>
      </c>
      <c r="AC85" s="3" t="s">
        <v>1371</v>
      </c>
      <c r="AD85" s="3"/>
      <c r="AE85" s="3" t="s">
        <v>51</v>
      </c>
      <c r="AF85" s="10">
        <v>46225</v>
      </c>
      <c r="AG85" s="3" t="s">
        <v>117</v>
      </c>
      <c r="AH85" s="3" t="s">
        <v>42</v>
      </c>
      <c r="AI85" s="3"/>
      <c r="AJ85" s="3" t="e">
        <f>LOWER(_xlfn.SINGLE(_xlfn.TEXTJOIN(" ", TRUE, B85, C85, F85,#REF!, G85, I85, J85, K85, L85, M85, N85, O85, P85, Q85, X85, Y85, Z85, AA85, AB85, AC85, AD85)))</f>
        <v>#REF!</v>
      </c>
    </row>
    <row r="86" spans="1:36" ht="71.25" customHeight="1">
      <c r="A86" s="1" t="s">
        <v>1372</v>
      </c>
      <c r="B86" s="8" t="s">
        <v>1373</v>
      </c>
      <c r="C86" s="3" t="s">
        <v>1374</v>
      </c>
      <c r="D86" s="4" t="s">
        <v>1375</v>
      </c>
      <c r="E86" s="1" t="s">
        <v>1376</v>
      </c>
      <c r="F86" s="3" t="s">
        <v>1377</v>
      </c>
      <c r="G86" s="3" t="s">
        <v>224</v>
      </c>
      <c r="H86" s="3" t="s">
        <v>62</v>
      </c>
      <c r="I86" s="3" t="s">
        <v>810</v>
      </c>
      <c r="J86" s="3" t="s">
        <v>1378</v>
      </c>
      <c r="K86" s="3" t="s">
        <v>1379</v>
      </c>
      <c r="L86" s="3" t="s">
        <v>795</v>
      </c>
      <c r="M86" s="3" t="s">
        <v>1380</v>
      </c>
      <c r="N86" s="3" t="s">
        <v>1381</v>
      </c>
      <c r="O86" s="3" t="s">
        <v>48</v>
      </c>
      <c r="P86" s="3" t="s">
        <v>48</v>
      </c>
      <c r="Q86" s="3" t="s">
        <v>1382</v>
      </c>
      <c r="R86" s="3" t="s">
        <v>52</v>
      </c>
      <c r="S86" s="3" t="s">
        <v>51</v>
      </c>
      <c r="T86" s="3" t="s">
        <v>51</v>
      </c>
      <c r="U86" s="1" t="s">
        <v>1383</v>
      </c>
      <c r="V86" s="3" t="s">
        <v>1384</v>
      </c>
      <c r="W86" s="3" t="s">
        <v>42</v>
      </c>
      <c r="X86" s="3" t="s">
        <v>42</v>
      </c>
      <c r="Y86" s="3" t="s">
        <v>1385</v>
      </c>
      <c r="Z86" s="3" t="s">
        <v>1386</v>
      </c>
      <c r="AA86" s="3" t="s">
        <v>1387</v>
      </c>
      <c r="AB86" s="3" t="s">
        <v>1388</v>
      </c>
      <c r="AC86" s="3" t="s">
        <v>1389</v>
      </c>
      <c r="AD86" s="3"/>
      <c r="AE86" s="3" t="s">
        <v>51</v>
      </c>
      <c r="AF86" s="10">
        <v>46226</v>
      </c>
      <c r="AG86" s="3" t="s">
        <v>117</v>
      </c>
      <c r="AH86" s="3" t="s">
        <v>42</v>
      </c>
      <c r="AI86" s="3"/>
      <c r="AJ86" s="3" t="str">
        <f t="shared" ref="AJ86:AJ95" si="3">LOWER(_xlfn.SINGLE(_xlfn.TEXTJOIN(" ", TRUE, B86, C86, E86, F86, G86, I86, J86, K86, L86, M86, N86, O86, P86, Q86, X86, Y86, Z86, AA86, AB86, AC86, AD86)))</f>
        <v>gridmet climatology lab, university of california, merced daily, spatially continuous gridded surface meteorological data for assigning temperature, precipitation, humidity, wind, solar radiation, evapotranspiration, vapor-pressure deficit, drought, and fire-weather conditions to locations and geographic areas. public annual netcdf downloads, wget-generated downloads, thredds/opendap services, climate engine access, usgs zarr services, and google earth engine; no approval required for direct files. open/public environmental exposure climate; weather; temperature; precipitation; humidity; wind; solar radiation; evapotranspiration; vapor pressure deficit; drought; wildfire; sdoh/geospatial; raster data; longitudinal data gridmet; metdata; climatology lab; uc merced; university of idaho; daily gridded meteorology; 4-kilometer climate data; temperature; precipitation; relative humidity; specific humidity; vapor pressure deficit; wind speed; wind direction; solar radiation; evapotranspiration; reference et; palmer drought severity index; fire weather; fuel moisture; energy release component; burning index; prism; nldas-2 environmental daily temperature; extreme heat; extreme cold; precipitation; heavy rainfall; humidity; vapor-pressure deficit; wind; solar radiation; evapotranspiration; drought; wildfire danger; fuel moisture; climate variability land areas and populations in the contiguous united states represented through approximately 4-kilometer gridded meteorological estimates united states united states approximately 4-kilometer raster grid cell high date; raster-cell centroid; latitude; longitude; precipitation accumulation; maximum temperature; minimum temperature; maximum relative humidity; minimum relative humidity; specific humidity; wind velocity; wind direction; downward shortwave solar radiation; mean vapor-pressure deficit; grass-reference evapotranspiration; alfalfa-reference evapotranspiration; energy release component; burning index; 100-hour dead-fuel moisture; 1,000-hour dead-fuel moisture; 10-day palmer drought severity index; preliminary or permanent data status assign daily meteorological exposures to residences, clinics, census areas, counties, watersheds, or study sites; study extreme heat and cold; incorporate humidity or vapor-pressure deficit into heat-exposure measures; evaluate precipitation, drought, wildfire, respiratory, cardiovascular, infectious-disease, and environmental-health outcomes; examine weather-related disruption of hiv services or medication access; calculate lagged and cumulative exposure measures; model evapotranspiration and hydrologic conditions; support agricultural, ecological, and wildfire analyses prism climate data; noaa nclimgrid-daily and epinoaa; noaa climate data online; noaa storm events database; terraclimate; daymet; cdc heat and health tracker; epa airdata/aqs; usgs water data for the nation; fema national risk index; american community survey modeled and interpolated raster estimates rather than measurements at every location. the approximately 4-kilometer grid may not capture neighborhood-scale heat, urban microclimates, coastal gradients, localized thunderstorms, or terrain effects below the native resolution. wind and solar-radiation inputs originate from substantially coarser reanalysis data and may not represent mesoscale terrain effects. solar radiation is calculated for a planar surface rather than adjusted for slope and aspect. recent observations are preliminary and can be replaced as more complete source data become available. the gridmet day is defined as midnight-to-midnight mountain standard time, which may differ from the local calendar day in south carolina. grid-cell values should not be interpreted as personal exposure. public non-human environmental data with no individual privacy restrictions. gridmet is available without known copyright restrictions, but researchers should cite the source and record the acquisition date. when linking raster estimates to protected health records, follow the confidentiality, geocoding, suppression, irb, and data-use requirements of the health dataset. document the variables, units, grid resolution, extraction date, preliminary-versus-permanent status, time-zone handling, spatial extraction method, and aggregation procedure.</v>
      </c>
    </row>
    <row r="87" spans="1:36" ht="71.25" customHeight="1">
      <c r="A87" s="1" t="s">
        <v>1390</v>
      </c>
      <c r="B87" s="9" t="s">
        <v>1391</v>
      </c>
      <c r="C87" t="s">
        <v>1391</v>
      </c>
      <c r="D87" s="4" t="s">
        <v>1392</v>
      </c>
      <c r="E87" s="1" t="s">
        <v>1393</v>
      </c>
      <c r="F87" s="3" t="s">
        <v>1394</v>
      </c>
      <c r="G87" s="3" t="s">
        <v>224</v>
      </c>
      <c r="H87" s="3" t="s">
        <v>137</v>
      </c>
      <c r="I87" s="3" t="s">
        <v>810</v>
      </c>
      <c r="J87" s="3" t="s">
        <v>1395</v>
      </c>
      <c r="K87" s="3" t="s">
        <v>1396</v>
      </c>
      <c r="L87" s="3" t="s">
        <v>92</v>
      </c>
      <c r="M87" s="3" t="s">
        <v>1397</v>
      </c>
      <c r="N87" s="3" t="s">
        <v>1398</v>
      </c>
      <c r="O87" s="3" t="s">
        <v>48</v>
      </c>
      <c r="P87" s="3" t="s">
        <v>1399</v>
      </c>
      <c r="Q87" s="3" t="s">
        <v>49</v>
      </c>
      <c r="R87" s="11" t="s">
        <v>51</v>
      </c>
      <c r="S87" s="3" t="s">
        <v>51</v>
      </c>
      <c r="T87" s="3" t="s">
        <v>51</v>
      </c>
      <c r="U87" s="1" t="s">
        <v>1400</v>
      </c>
      <c r="V87" s="3" t="s">
        <v>1401</v>
      </c>
      <c r="W87" s="3" t="s">
        <v>42</v>
      </c>
      <c r="X87" s="3" t="s">
        <v>42</v>
      </c>
      <c r="Y87" s="3" t="s">
        <v>1402</v>
      </c>
      <c r="Z87" s="3" t="s">
        <v>1403</v>
      </c>
      <c r="AA87" s="3" t="s">
        <v>1404</v>
      </c>
      <c r="AB87" s="3" t="s">
        <v>1405</v>
      </c>
      <c r="AC87" s="3" t="s">
        <v>1406</v>
      </c>
      <c r="AD87" s="3"/>
      <c r="AE87" s="3" t="s">
        <v>60</v>
      </c>
      <c r="AF87" s="10">
        <v>46225</v>
      </c>
      <c r="AG87" s="3" t="s">
        <v>117</v>
      </c>
      <c r="AH87" s="3" t="s">
        <v>62</v>
      </c>
      <c r="AI87" s="3"/>
      <c r="AJ87" s="3" t="str">
        <f t="shared" si="3"/>
        <v>noaa storm events database noaa storm events database event-based database documenting severe storms, unusual weather phenomena, and other significant meteorological events, including event timing and location, reported injuries and fatalities, property and crop damage, event magnitude, and descriptive narratives. public interactive search, narrative search, annual bulk csv files, event-location files, fatality files, documentation, and archived storm data publications; no account required. open/public environmental exposure climate; weather; natural hazards; disasters; emergency preparedness; extreme heat; flooding; injury surveillance; mortality; sdoh/geospatial; event-level data; longitudinal data noaa storm events database; ncei; nws storm data; severe weather; natural disaster; extreme weather; tornado; hurricane; tropical storm; flood; flash flood; storm surge; extreme heat; excessive heat; drought; wildfire; lightning; hail; thunderstorm wind; winter storm; ice storm; coastal flood; injuries; fatalities; property damage; crop damage; south carolina storm events registry/surveillance tornadoes; hurricanes; tropical storms; floods; flash floods; coastal flooding; storm surge; extreme heat; cold exposure; drought; wildfire; lightning; hail; damaging winds; heavy rain; winter storms; ice storms; rip currents; weather-related injuries; weather-related deaths; economic damage residents and communities in the united states and territories affected by recorded severe or significant weather events; records also cover marine areas and forecast zones united states county or parish; nws forecast zone; marine zone; event point or path; state or territory other high episode id; event id; state; state fips; year; month; event type; county, parish, forecast zone, or marine-zone identifier; county or zone fips; national weather service forecast office; event start and end date/time; time zone; direct injuries; indirect injuries; direct deaths; indirect deaths; estimated property damage; estimated crop damage; reporting source; event magnitude; magnitude type; flood cause; tornado ef scale; tornado path length and width; beginning and ending latitude and longitude; event locations; episode narrative; event narrative; fatality date; fatality age; fatality sex; fatality location category identify severe-weather events affecting a study population; examine associations between disasters and mortality, injury, hospitalization, emergency care, mental health, or infectious-disease outcomes; study disruptions to hiv clinics, pharmacies, transportation, antiretroviral treatment, and care retention after hurricanes or floods; construct event windows for interrupted time-series or difference-in-differences studies; evaluate geographic disparities in disaster impacts; characterize direct and indirect deaths and injuries; assess property and crop damage; support emergency preparedness and climate-resilience planning prism climate data; noaa/ncei climate data online; noaa integrated best track archive for climate stewardship; national weather service warning data; fema openfema disaster declarations; usgs water data for the nation; cdc heat and health tracker; cdc wonder mortality data; american community survey; cdc/atsdr social vulnerability index; cdc/atsdr environmental justice index; hospital discharge or claims data; nchhstp atlasplus; hiv surveillance and ryan white program data the database is not a complete census of all weather conditions or every hazardous event. event-type coverage and reporting procedures changed substantially over time, making naïve historical event-count comparisons unreliable. early records are concentrated on tornadoes, hail, and thunderstorm winds, and june and july 1993 records are missing. information comes from national weather service offices and numerous outside sources, and some reports may be unverified. location precision varies by period and event; older coordinates may be approximate. property and crop damage values are broad estimates and are not adjusted for inflation. tornadoes can be divided into multiple event segments when crossing counties, states, or forecast-office areas. recent data appear with a reporting lag. reported injuries, fatalities, damages, and narratives should not be assumed complete or equally ascertained across locations and years. public event records with no names or direct personal identifiers. the separate fatality file contains one record per reported fatality and may include age, sex, date, and a broad location category; researchers should avoid unnecessary disclosure of rare-event combinations in small communities. linking storm-event records to protected hiv, clinical, claims, or surveillance data requires compliance with the confidentiality, geocoding, suppression, irb, and data-use requirements of the health dataset. cite noaa/ncei and document the extraction date, data files, event definitions, temporal window, geographic-linkage method, and treatment of event segments.</v>
      </c>
    </row>
    <row r="88" spans="1:36" ht="85.5" customHeight="1">
      <c r="A88" s="1" t="s">
        <v>1407</v>
      </c>
      <c r="B88" s="8" t="s">
        <v>1408</v>
      </c>
      <c r="C88" s="3" t="s">
        <v>1409</v>
      </c>
      <c r="D88" s="4" t="s">
        <v>1410</v>
      </c>
      <c r="E88" s="1" t="s">
        <v>1411</v>
      </c>
      <c r="F88" s="3" t="s">
        <v>1412</v>
      </c>
      <c r="G88" s="3" t="s">
        <v>224</v>
      </c>
      <c r="H88" s="3" t="s">
        <v>137</v>
      </c>
      <c r="I88" s="3" t="s">
        <v>339</v>
      </c>
      <c r="J88" s="3" t="s">
        <v>1413</v>
      </c>
      <c r="K88" s="3" t="s">
        <v>1414</v>
      </c>
      <c r="L88" s="3" t="s">
        <v>323</v>
      </c>
      <c r="M88" s="3" t="s">
        <v>1415</v>
      </c>
      <c r="N88" s="3" t="s">
        <v>1416</v>
      </c>
      <c r="O88" s="3" t="s">
        <v>48</v>
      </c>
      <c r="P88" s="3" t="s">
        <v>1417</v>
      </c>
      <c r="Q88" s="3" t="s">
        <v>327</v>
      </c>
      <c r="R88" s="3" t="s">
        <v>52</v>
      </c>
      <c r="S88" s="3" t="s">
        <v>51</v>
      </c>
      <c r="T88" s="3" t="s">
        <v>52</v>
      </c>
      <c r="U88" s="1" t="s">
        <v>1418</v>
      </c>
      <c r="V88" s="3" t="s">
        <v>1419</v>
      </c>
      <c r="W88" s="3" t="s">
        <v>42</v>
      </c>
      <c r="X88" s="3" t="s">
        <v>42</v>
      </c>
      <c r="Y88" s="3" t="s">
        <v>1420</v>
      </c>
      <c r="Z88" s="3" t="s">
        <v>1421</v>
      </c>
      <c r="AA88" s="3" t="s">
        <v>1422</v>
      </c>
      <c r="AB88" s="3" t="s">
        <v>1423</v>
      </c>
      <c r="AC88" s="3" t="s">
        <v>1424</v>
      </c>
      <c r="AD88" s="3"/>
      <c r="AE88" s="3" t="s">
        <v>51</v>
      </c>
      <c r="AF88" s="10">
        <v>46226</v>
      </c>
      <c r="AG88" s="3" t="s">
        <v>117</v>
      </c>
      <c r="AH88" s="3" t="s">
        <v>42</v>
      </c>
      <c r="AI88" s="3" t="s">
        <v>63</v>
      </c>
      <c r="AJ88" s="3" t="str">
        <f t="shared" si="3"/>
        <v>fema national risk index fema national risk index for natural hazards area-level multi-hazard screening dataset combining expected annual loss, social vulnerability, and community resilience to compare natural-hazard risk across u.s. counties and census tracts and support mitigation, preparedness, resilience planning, grant prioritization, and risk communication. public fema landing page, rapt gis web map, openfema downloadable files, fema arcgis county and census-tract feature layers, and technical documentation; no account required. open/public sdoh/geospatial environmental exposure; natural hazards; disaster risk; climate; social vulnerability; community resilience; emergency preparedness; hazard mitigation; resilience planning; area-level data fema national risk index; fema nri; natural hazard risk; multi-hazard risk; expected annual loss; eal; social vulnerability; community resilience; disaster vulnerability; hazard mitigation; emergency preparedness; census tract risk; county risk; annualized frequency; historic loss ratio; rapt; disaster resilience; south carolina natural hazards geospatial/area-level avalanche; coastal flooding; cold wave; drought; earthquake; hail; heat wave; hurricane; ice storm; inland flooding; landslide; lightning; strong wind; tornado; tsunami; volcanic activity; wildfire; winter weather; expected annual loss; social vulnerability; community resilience residents, buildings, agricultural assets, and communities in u.s. counties and census tracts, represented through area-level hazard exposure, expected annual loss, social vulnerability, and community resilience measures united states census tract; county; tribal census tract; state-level expected annual loss summaries, depending on product census tract high national risk index identifier; state, county, and census-tract fips codes; composite risk index value, score, and rating; composite expected annual loss value, score, and rating; social vulnerability value, score, and rating; community resilience value, score, and rating; hazard-specific risk index scores and ratings; hazard-specific expected annual loss; annualized hazard frequency; exposure; historic loss ratio; building-loss component; population-loss component; agriculture-loss component; geographic geometry; national risk index version identify census tracts or counties with high multi-hazard risk; prioritize emergency-preparedness and resilience resources; examine whether areas with high hiv burden or poorer hiv care outcomes also face elevated disaster risk or low community resilience; assess potential disruption of clinics, pharmacies, transportation, utilities, and medication access; support continuity-of-care planning; compare hazard-specific risks across south carolina; select communities for qualitative engagement; support hazard-mitigation planning, grant applications, and risk communication fema resilience analysis and planning tool; openfema disaster declarations summaries; noaa storm events database; prism climate data; noaa epinoaa/nclimgrid daily; fema national flood hazard layer; cdc/atsdr social vulnerability index; cdc/atsdr environmental justice index; american community survey; usgs hazard datasets; local hazard-mitigation plans; health-care facility and pharmacy locations relative screening index rather than a site-specific risk assessment or prediction of future events. scores are based on modeled expected annual losses, historical hazard information, exposure estimates, social vulnerability, and community resilience measures drawn from sources with different reference periods and methods. county and tract values can conceal substantial within-area variation. expected annual loss is a modeled long-term average and should not be interpreted as the amount a community will lose in a particular year. national ratings are comparative rather than absolute safety thresholds. composite scores may obscure which hazard or community factor is driving risk. data versions may not be directly comparable because hazard methods, source data, geography, and community-factor calculations can change. the index does not represent individual exposure, individual vulnerability, or individual probability of harm and should not replace local hazard studies. public aggregate geospatial data with no identifiable individual records. cite fema, the national risk index version, the geographic level, and the date accessed. linking tract- or county-level risk measures to protected hiv, clinical, claims, or surveillance data requires compliance with the confidentiality, geocoding, suppression, irb, and data-use requirements of the health dataset. do not present tract-level risk or vulnerability as an individual characteristic, and avoid publishing small-area health results that could permit indirect identification.</v>
      </c>
    </row>
    <row r="89" spans="1:36" ht="71.25" customHeight="1">
      <c r="A89" s="1" t="s">
        <v>1425</v>
      </c>
      <c r="B89" s="9" t="s">
        <v>1426</v>
      </c>
      <c r="C89" s="3" t="s">
        <v>1427</v>
      </c>
      <c r="D89" s="4" t="s">
        <v>1428</v>
      </c>
      <c r="E89" s="1" t="s">
        <v>1429</v>
      </c>
      <c r="F89" s="3" t="s">
        <v>1430</v>
      </c>
      <c r="G89" s="3" t="s">
        <v>224</v>
      </c>
      <c r="H89" s="3" t="s">
        <v>62</v>
      </c>
      <c r="I89" s="3" t="s">
        <v>810</v>
      </c>
      <c r="J89" s="3" t="s">
        <v>1431</v>
      </c>
      <c r="K89" s="3" t="s">
        <v>1432</v>
      </c>
      <c r="L89" s="3" t="s">
        <v>323</v>
      </c>
      <c r="M89" s="3" t="s">
        <v>1433</v>
      </c>
      <c r="N89" s="3" t="s">
        <v>1434</v>
      </c>
      <c r="O89" s="3" t="s">
        <v>48</v>
      </c>
      <c r="P89" s="3" t="s">
        <v>1435</v>
      </c>
      <c r="Q89" s="3" t="s">
        <v>49</v>
      </c>
      <c r="R89" s="3" t="s">
        <v>52</v>
      </c>
      <c r="S89" s="3" t="s">
        <v>51</v>
      </c>
      <c r="T89" s="3" t="s">
        <v>51</v>
      </c>
      <c r="U89" s="1" t="s">
        <v>1436</v>
      </c>
      <c r="V89" s="3" t="s">
        <v>1437</v>
      </c>
      <c r="W89" s="3" t="s">
        <v>42</v>
      </c>
      <c r="X89" s="3" t="s">
        <v>42</v>
      </c>
      <c r="Y89" s="3" t="s">
        <v>1438</v>
      </c>
      <c r="Z89" s="3" t="s">
        <v>1439</v>
      </c>
      <c r="AA89" s="3" t="s">
        <v>1440</v>
      </c>
      <c r="AB89" s="3" t="s">
        <v>1441</v>
      </c>
      <c r="AC89" s="3" t="s">
        <v>1442</v>
      </c>
      <c r="AD89" s="3"/>
      <c r="AE89" s="3"/>
      <c r="AF89" s="10">
        <v>46226</v>
      </c>
      <c r="AG89" s="3" t="s">
        <v>117</v>
      </c>
      <c r="AH89" s="3" t="s">
        <v>42</v>
      </c>
      <c r="AI89" s="3" t="s">
        <v>63</v>
      </c>
      <c r="AJ89" s="3" t="str">
        <f t="shared" si="3"/>
        <v>usgs / mrlc national land cover database (nlcd) mrlc annual national land cover database annual 30-meter raster data describing land cover, land-cover change, classification confidence, and impervious surfaces for analyzing urbanization, development, vegetation, wetlands, environmental context, and changes in the land surface over time. public mrlc viewer and area-of-interest downloads, geotiff raster files, usgs earthexplorer, sciencebase archives, aws cloud storage, and geospatial web services; no approval required. open/public environmental exposure sdoh/geospatial; land cover; land use; built environment; impervious surface; urbanization; greenspace; forest; wetlands; agriculture; remote sensing; raster data; longitudinal data annual nlcd; national land cover database; mrlc; usgs eros; landsat land cover; land-cover change; 30-meter raster; developed land; urbanization; impervious surface; fractional imperviousness; roads; forest cover; wetlands; agriculture; open water; greenspace; built environment; remote sensing; south carolina land cover geospatial/area-level land cover; land-cover change; developed land; urbanization; impervious surfaces; roads; open water; forest; shrubland; grassland; pasture; cultivated crops; wetlands; greenspace; land-surface disturbance land areas and communities in the conterminous united states represented through 30-meter land-cover raster cells united states 30-meter raster grid cell; current annual nlcd core coverage is the conterminous united states other high mapping year; raster-cell coordinates; land-cover class code; land-cover class description; land-cover change; land-cover confidence; fractional impervious surface percentage; impervious descriptor identifying road or other urban surfaces; spectral change day of year; spatial resolution; product collection and version; projection and datum calculate developed-land, forest, wetland, agricultural, or greenspace percentages within census areas or buffers; measure imperviousness around residences, clinics, pharmacies, or community organizations; study urbanization and neighborhood environmental change; evaluate associations between land cover and hiv outcomes, physical activity, heat, air pollution, flooding, stormwater runoff, vector habitat, respiratory outcomes, or access to greenspace; characterize environmental context around brownfields, superfund sites, or regulated facilities; construct annual county, tract, zip, or watershed land-cover indicators epa enviroatlas; epa ejscreen; cdc/atsdr environmental justice index; american community survey; census tiger/line; prism climate data; gridmet; noaa nclimgrid/epinoaa; fema national risk index; epa waters/nhdplus; usgs landsat; usda cropland data layer; usfs tree canopy cover data remote-sensing classification product rather than direct field observation or parcel-level land-use data. a 30-meter cell may contain several surface types, while the land-cover product assigns the predominant class. classification accuracy varies by class, geography, year, and type of change. small roads, buildings, narrow waterways, fragmented greenspace, and other features below the spatial resolution may be missed or generalized. land cover should not be treated as equivalent to zoning, ownership, parcel use, or personal environmental exposure. apparent annual changes can include classification artifacts. current annual nlcd collection products should not be combined naïvely with legacy nlcd releases because methods, classes, and processing differ. the current core annual suite covers the conterminous united states and does not provide equivalent land-cover coverage for alaska, hawaii, or u.s. territories. public non-human geospatial data with no individual privacy restrictions. annual nlcd science products have no use restrictions and usgs eros data are generally public domain, although formal citation is recommended. document the annual nlcd collection and version, mapping years, selected products, spatial resolution, class legend, projection, extraction date, study-area boundaries, buffer or aggregation method, and treatment of classification confidence. when linking raster-derived indicators to protected health records, follow the governance requirements of the health dataset and do not describe area-level land cover as an individually measured exposure.</v>
      </c>
    </row>
    <row r="90" spans="1:36" ht="71.25" customHeight="1">
      <c r="A90" s="1" t="s">
        <v>1443</v>
      </c>
      <c r="B90" s="8" t="s">
        <v>1444</v>
      </c>
      <c r="C90" t="s">
        <v>1445</v>
      </c>
      <c r="D90" s="4" t="s">
        <v>1446</v>
      </c>
      <c r="E90" s="1" t="s">
        <v>1447</v>
      </c>
      <c r="F90" s="3" t="s">
        <v>1448</v>
      </c>
      <c r="G90" s="3" t="s">
        <v>224</v>
      </c>
      <c r="H90" s="3" t="s">
        <v>62</v>
      </c>
      <c r="I90" s="3" t="s">
        <v>339</v>
      </c>
      <c r="J90" s="3" t="s">
        <v>1449</v>
      </c>
      <c r="K90" s="3" t="s">
        <v>1450</v>
      </c>
      <c r="L90" s="3" t="s">
        <v>323</v>
      </c>
      <c r="M90" s="3" t="s">
        <v>1451</v>
      </c>
      <c r="N90" s="3" t="s">
        <v>1452</v>
      </c>
      <c r="O90" s="3" t="s">
        <v>48</v>
      </c>
      <c r="P90" s="3" t="s">
        <v>1453</v>
      </c>
      <c r="Q90" s="3" t="s">
        <v>49</v>
      </c>
      <c r="R90" s="3" t="s">
        <v>52</v>
      </c>
      <c r="S90" s="3" t="s">
        <v>51</v>
      </c>
      <c r="T90" s="3" t="s">
        <v>52</v>
      </c>
      <c r="U90" s="12" t="s">
        <v>1454</v>
      </c>
      <c r="V90" s="3" t="s">
        <v>1455</v>
      </c>
      <c r="W90" s="3" t="s">
        <v>42</v>
      </c>
      <c r="X90" s="3" t="s">
        <v>62</v>
      </c>
      <c r="Y90" s="3" t="s">
        <v>1456</v>
      </c>
      <c r="Z90" s="3" t="s">
        <v>1457</v>
      </c>
      <c r="AA90" s="3" t="s">
        <v>1458</v>
      </c>
      <c r="AB90" s="3" t="s">
        <v>1459</v>
      </c>
      <c r="AC90" s="3" t="s">
        <v>1460</v>
      </c>
      <c r="AD90" s="3"/>
      <c r="AE90" s="3" t="s">
        <v>60</v>
      </c>
      <c r="AF90" s="10">
        <v>46226</v>
      </c>
      <c r="AG90" s="3" t="s">
        <v>117</v>
      </c>
      <c r="AH90" s="3" t="s">
        <v>137</v>
      </c>
      <c r="AI90" s="3" t="s">
        <v>63</v>
      </c>
      <c r="AJ90" s="3" t="str">
        <f t="shared" si="3"/>
        <v>usgs protected areas database of the u.s. (pad-us) usgs pad-us data overview and downloads national geospatial inventory of public lands, protected areas, conservation easements, marine protected areas, management designations, and other open-space lands and waters, including conservation status, ownership or management, and general public-access information. public national and state geodatabases, vector and raster analysis files, kmz files, arcgis web services, interactive data explorer, and summary-statistics dashboard. open/public sdoh/geospatial environmental exposure; protected areas; public lands; parks; open space; greenspace; recreation access; biodiversity; conservation; land management; cultural resources; emergency planning pad-us; protected areas database of the united states; usgs gap analysis project; public lands; protected areas; parks; open space; conservation easement; recreation access; public access; wilderness; national park; state park; wildlife refuge; forest; marine protected area; land management; greenspace access; south carolina protected lands geospatial/area-level protected lands; public lands; parks; open space; recreation access; biodiversity conservation; land ownership; land management; conservation easements; wilderness; natural-resource management; marine protected areas; cultural and historic areas residents and communities located near, or potentially served by, public lands, protected areas, parks, conservation lands, and other open-space lands and waters united states protected-area or management-boundary polygon; public-land parcel; conservation easement; marine protected area; county; state other medium protected-area name; local name; owner name and type; manager name and type; primary and secondary designation; protection-mechanism category; gap conservation-status code; iucn category; public-access category; feature class; establishment year where available; state; county; acreage; geographic geometry; data source; data steward; pad-us version calculate proximity to protected open space; estimate the percentage of protected or publicly accessible land around communities; examine differences in access to nature across demographic groups; characterize greenspace and recreation context around hiv-service locations; study rurality and undeveloped-land context; identify public lands relevant to wildfire or emergency planning; combine protected-area boundaries with nlcd, enviroatlas, census, climate, or health data annual national land cover database; epa enviroatlas; trust for public land parkserve; american community survey; census tiger/line; cdc/atsdr environmental justice index; epa ejscreen; fema national risk index; usgs national map; state and local parks or recreation datasets pad-us is a boundary and management inventory, not a measure of biodiversity quality, greenspace quality, park amenities, walkability, actual visitation, personal access, environmental exposure, or health benefit. public-access classifications are general and may not capture entrances, hours, fees, seasonal restrictions, safety, transportation barriers, disability access, or local closures. coverage and update dates vary among federal, state, local, tribal, and nonprofit contributors. protected-area polygons may overlap because ownership, easements, and management designations represent different legal interests. usgs discourages comparing releases as a simple longitudinal series because apparent changes can reflect improved source data or gis processing rather than real acquisitions or changes in protection. public non-human geospatial data released for public use. document the pad-us version, feature classes, public-access categories, overlap-handling procedure, coordinate system, extraction date, and spatial aggregation method. linking protected-area proximity to restricted health records requires compliance with the governance requirements of the health dataset. do not treat nearby protected land as evidence that an individual uses or can readily access that land.</v>
      </c>
    </row>
    <row r="91" spans="1:36" ht="99.75" customHeight="1">
      <c r="A91" s="1" t="s">
        <v>1461</v>
      </c>
      <c r="B91" s="9" t="s">
        <v>1462</v>
      </c>
      <c r="C91" s="3" t="s">
        <v>1463</v>
      </c>
      <c r="D91" s="4" t="s">
        <v>1464</v>
      </c>
      <c r="E91" s="1" t="s">
        <v>1465</v>
      </c>
      <c r="F91" s="3" t="s">
        <v>1466</v>
      </c>
      <c r="G91" s="3" t="s">
        <v>224</v>
      </c>
      <c r="H91" s="3" t="s">
        <v>62</v>
      </c>
      <c r="I91" s="3" t="s">
        <v>810</v>
      </c>
      <c r="J91" s="3" t="s">
        <v>1467</v>
      </c>
      <c r="K91" s="3" t="s">
        <v>1468</v>
      </c>
      <c r="L91" s="3" t="s">
        <v>795</v>
      </c>
      <c r="M91" s="3" t="s">
        <v>1467</v>
      </c>
      <c r="N91" s="3" t="s">
        <v>1468</v>
      </c>
      <c r="O91" s="3" t="s">
        <v>48</v>
      </c>
      <c r="P91" t="s">
        <v>1469</v>
      </c>
      <c r="Q91" s="3" t="s">
        <v>293</v>
      </c>
      <c r="R91" s="3" t="s">
        <v>52</v>
      </c>
      <c r="S91" s="3" t="s">
        <v>51</v>
      </c>
      <c r="T91" s="3" t="s">
        <v>51</v>
      </c>
      <c r="U91" s="1" t="s">
        <v>1470</v>
      </c>
      <c r="V91" s="3" t="s">
        <v>1471</v>
      </c>
      <c r="W91" s="3" t="s">
        <v>62</v>
      </c>
      <c r="X91" s="3" t="s">
        <v>62</v>
      </c>
      <c r="Y91" s="3" t="s">
        <v>1472</v>
      </c>
      <c r="Z91" s="3" t="s">
        <v>1473</v>
      </c>
      <c r="AA91" s="3" t="s">
        <v>1474</v>
      </c>
      <c r="AB91" s="3" t="s">
        <v>1475</v>
      </c>
      <c r="AC91" s="3" t="s">
        <v>1476</v>
      </c>
      <c r="AD91" s="3"/>
      <c r="AE91" s="3" t="s">
        <v>60</v>
      </c>
      <c r="AF91" s="10">
        <v>46226</v>
      </c>
      <c r="AG91" s="3" t="s">
        <v>117</v>
      </c>
      <c r="AH91" s="3" t="s">
        <v>62</v>
      </c>
      <c r="AI91" s="3" t="s">
        <v>63</v>
      </c>
      <c r="AJ91" s="3" t="str">
        <f t="shared" si="3"/>
        <v>usgs estimated annual agricultural pesticide use usgs / mrlc annual county-level estimates of agricultural pesticide use for hundreds of pesticide compounds in the conterminous united states, with maps and state-level crop-group summaries for evaluating national and regional patterns, trends, potential environmental loading, and agricultural exposure context. public interactive pesticide maps, annual county-level tab-delimited data files, state-level crop-group tables, usgs data releases, metadata, and methodological documentation; no registration required. open/public environmental exposure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environmental agricultural pesticide use; herbicides; insecticides; fungicides; crop chemicals; pesticide trends; agricultural chemical loading; surface-water contamination potential; groundwater contamination potential; rural environmental exposure agricultural lands and populations living, working, obtaining water, or receiving services in areas where agricultural pesticides are estimated to be used united states county; agricultural land within county for mapped displays; state and crop group for selected summaries county medium pesticide compound name; year; state fips code; county fips code; low estimated use in kilograms; high estimated use in kilograms; state; county; crop or crop group in state-level files; mapped agricultural area; preliminary or final estimate status estimate county-level agricultural pesticide burden; examine associations between pesticide-use patterns and cancer, neurologic, reproductive, respiratory, endocrine, infectious-disease, or other health outcomes; characterize rural environmental conditions for hiv disparities research; assess potential pesticide contributions to surface-water or groundwater contamination; study trends in individual pesticide compounds; identify counties for targeted water-quality monitoring; link pesticide estimates with crop cover, drinking-water sources, socioeconomic conditions, and health outcomes water quality portal; usgs water data for the nation; epa attains; epa waters/nhdplus; usda census of agriculture; usda cropland data layer; annual national land cover database; epa pesticide product and label system; epa chemical data reporting; prism climate data; gridmet; american community survey; cdc/atsdr environmental justice index; south carolina agricultural and pesticide-regulatory data estimated agricultural use rather than verified field-, farm-, or applicator-level pesticide application records. for most states, proprietary pesticide-use surveys are reported at the multi-county crop reporting district level and combined with county harvested-acreage data to estimate county values. when survey information is incomplete, usgs publishes low and high estimates based on different assumptions. reliability generally decreases at finer geographic scales, and usgs states that the estimates are not intended for detailed comparisons within or between individual counties. maps allocate county estimates to agricultural land but do not identify exact treated fields. the data exclude most nonagricultural uses, including residential, structural, roadside, forestry, and many public-health applications. pesticide use does not equal environmental concentration, human dose, drift, residue, or health risk. compound coverage changes between years. seed-treatment estimates were discontinued beginning in 2015, creating a temporal comparability issue. recent estimates may be preliminary and later revised. public aggregate environmental data with no individual or farm identifiers. usgs data releases are publicly available and should be cited with the specific release, year range, version, and access date. linking county pesticide estimates to protected hiv, clinical, claims, or surveillance data requires compliance with the governance requirements of the health dataset. do not characterize county-level pesticide use as confirmed exposure for individuals. document the compounds selected, low-versus-high estimate choice, preliminary-versus-final status, county crosswalk, year range, and spatial-linkage method.</v>
      </c>
    </row>
    <row r="92" spans="1:36" ht="42.75" customHeight="1">
      <c r="A92" s="1" t="s">
        <v>1477</v>
      </c>
      <c r="B92" s="9" t="s">
        <v>1478</v>
      </c>
      <c r="C92" s="3" t="s">
        <v>1479</v>
      </c>
      <c r="D92" s="13" t="s">
        <v>1480</v>
      </c>
      <c r="E92" s="12" t="s">
        <v>1481</v>
      </c>
      <c r="F92" t="s">
        <v>1482</v>
      </c>
      <c r="G92" s="3" t="s">
        <v>905</v>
      </c>
      <c r="H92" t="s">
        <v>62</v>
      </c>
      <c r="I92" t="s">
        <v>937</v>
      </c>
      <c r="J92" t="s">
        <v>1483</v>
      </c>
      <c r="K92" t="s">
        <v>1484</v>
      </c>
      <c r="L92" s="3" t="s">
        <v>323</v>
      </c>
      <c r="M92" t="s">
        <v>1485</v>
      </c>
      <c r="N92" t="s">
        <v>1486</v>
      </c>
      <c r="O92" t="s">
        <v>1487</v>
      </c>
      <c r="P92" s="3" t="s">
        <v>1487</v>
      </c>
      <c r="Q92" t="s">
        <v>49</v>
      </c>
      <c r="R92" t="s">
        <v>52</v>
      </c>
      <c r="S92" t="s">
        <v>51</v>
      </c>
      <c r="T92" t="s">
        <v>52</v>
      </c>
      <c r="U92" s="12" t="s">
        <v>1488</v>
      </c>
      <c r="V92" t="s">
        <v>1489</v>
      </c>
      <c r="W92" t="s">
        <v>42</v>
      </c>
      <c r="X92" t="s">
        <v>42</v>
      </c>
      <c r="Y92" t="s">
        <v>1490</v>
      </c>
      <c r="Z92" t="s">
        <v>1491</v>
      </c>
      <c r="AA92" t="s">
        <v>1492</v>
      </c>
      <c r="AB92" t="s">
        <v>1493</v>
      </c>
      <c r="AC92" t="s">
        <v>1494</v>
      </c>
      <c r="AE92" s="3" t="s">
        <v>51</v>
      </c>
      <c r="AF92" s="10">
        <v>46226</v>
      </c>
      <c r="AG92" t="s">
        <v>117</v>
      </c>
      <c r="AH92" t="s">
        <v>42</v>
      </c>
      <c r="AI92" s="3" t="s">
        <v>63</v>
      </c>
      <c r="AJ92" s="3" t="str">
        <f t="shared" si="3"/>
        <v>south carolina department of environmental services gis hub scdes gis hub statewide environmental gis hub for discovering, viewing, analyzing, downloading, and accessing scdes maps, dashboards, applications, datasets, apis, and gis services public access without authentication for public datasets; downloads may include csv, kml, zip, geojson, geotiff, and png, with geoservices, wms, and wfs links available for applicable layers. open/public with terms south carolina/local data environmental exposure; sdoh/geospatial; air quality; water quality; coastal resources; land and waste; permits; monitoring; regulatory facilities south carolina environmental gis, scdes, air quality, water quality, coastal gis, hazardous waste, landfills, mines, permits, monitoring stations, pfas, dams, watersheds, arcgis geospatial/area-level air, water, coastal management, land and waste management, environmental monitoring, regulated facilities, permits, contamination, watersheds and environmental hazards south carolina environmental features, monitoring locations, regulated facilities, permitted sites, water bodies, coastal areas and communities monitoring site, facility, permit location, water body, watershed, coastal feature, parcel, point, line, polygon or raster; varies by layer monitoring site, facility, permit location, water body, watershed, coastal feature, parcel, point, line, polygon or raster; varies by layer other high coordinates, facility or site name, permit identifiers, environmental-program category, monitoring location, watershed, water body, county, status, boundaries, pollutant or parameter attributes and application-specific measures environmental-exposure linkage; proximity and buffer analysis; mapping regulated facilities; watershed and coastal analyses; environmental-justice research; identifying permits, monitoring sites and potential exposure sources epa echo; epa frs; epa tri; water quality portal; attains; how’s my waterway; scdnr gis open data; annual nlcd; fema national risk index; american community survey this is a collection of independently maintained layers rather than one harmonized dataset. definitions, geographic resolution, vintages and update schedules vary. scdes states that data may contain errors or omissions, are supplied as-is and should not be treated as legal, engineering or professional advice. public data generally do not require authentication, but service use may be logged. review each layer’s metadata, attribution and terms; do not attempt to access nonpublic underlying systems or data.</v>
      </c>
    </row>
    <row r="93" spans="1:36" ht="42.75" customHeight="1">
      <c r="A93" s="1" t="s">
        <v>1495</v>
      </c>
      <c r="B93" s="8" t="s">
        <v>1496</v>
      </c>
      <c r="C93" s="3" t="s">
        <v>1497</v>
      </c>
      <c r="D93" s="4" t="s">
        <v>1498</v>
      </c>
      <c r="E93" s="1" t="s">
        <v>1499</v>
      </c>
      <c r="F93" s="3" t="s">
        <v>1500</v>
      </c>
      <c r="G93" s="3" t="s">
        <v>224</v>
      </c>
      <c r="H93" s="3" t="s">
        <v>62</v>
      </c>
      <c r="I93" s="3" t="s">
        <v>937</v>
      </c>
      <c r="J93" s="3" t="s">
        <v>1501</v>
      </c>
      <c r="K93" s="3" t="s">
        <v>1502</v>
      </c>
      <c r="L93" s="3" t="s">
        <v>795</v>
      </c>
      <c r="M93" s="3" t="s">
        <v>1503</v>
      </c>
      <c r="N93" s="3" t="s">
        <v>1504</v>
      </c>
      <c r="O93" s="3" t="s">
        <v>942</v>
      </c>
      <c r="P93" s="3" t="s">
        <v>1505</v>
      </c>
      <c r="Q93" s="3" t="s">
        <v>49</v>
      </c>
      <c r="R93" s="3" t="s">
        <v>52</v>
      </c>
      <c r="S93" s="3" t="s">
        <v>51</v>
      </c>
      <c r="T93" s="3" t="s">
        <v>51</v>
      </c>
      <c r="U93" s="1" t="s">
        <v>1506</v>
      </c>
      <c r="V93" s="3" t="s">
        <v>1507</v>
      </c>
      <c r="W93" s="3" t="s">
        <v>42</v>
      </c>
      <c r="X93" s="3" t="s">
        <v>42</v>
      </c>
      <c r="Y93" s="3" t="s">
        <v>1508</v>
      </c>
      <c r="Z93" s="3" t="s">
        <v>1509</v>
      </c>
      <c r="AA93" s="3" t="s">
        <v>1510</v>
      </c>
      <c r="AB93" s="3" t="s">
        <v>1511</v>
      </c>
      <c r="AC93" s="3" t="s">
        <v>1512</v>
      </c>
      <c r="AD93" s="3"/>
      <c r="AE93" s="3" t="s">
        <v>60</v>
      </c>
      <c r="AF93" s="10">
        <v>46226</v>
      </c>
      <c r="AG93" s="3" t="s">
        <v>117</v>
      </c>
      <c r="AH93" s="3" t="s">
        <v>62</v>
      </c>
      <c r="AI93" s="3" t="s">
        <v>63</v>
      </c>
      <c r="AJ93" s="3" t="str">
        <f t="shared" si="3"/>
        <v>south carolina water monitoring portal usda ers arcgis-based statewide application for visualizing, filtering and downloading south carolina water-quality monitoring results public interactive map with filters for water-quality category, sample date, submitting organization, county, watershed and sub-watershed; users may download selected data. open/public south carolina/local data environmental exposure; water quality; surface water; monitoring sites; watersheds; bacteria; nutrients; impaired waters; tmdls south carolina water quality, water monitoring, sc sea grant, college of charleston, water quality portal, monitoring stations, bacteria, nutrients, county, huc10, huc12, watershed, impaired waters, tmdl environmental surface-water quality, monitoring locations, physical and chemical parameters, bacteria, nutrients, watershed conditions, impaired waters and tmdls south carolina water-quality monitoring sites, samples, water bodies and watersheds south carolina monitoring site, sample location, county, watershed, sub-watershed and water body other high monitoring-site identifier, coordinates, collection date, submitting organization, county, watershed, parameter or characteristic name, result value, unit, sample medium and water-quality category link water-quality measurements to communities or health outcomes; identify monitoring coverage; evaluate spatial and temporal water-quality trends; examine bacteria or nutrient measurements; support watershed and environmental-exposure studies national water quality portal; scdes gis hub; scdes watershed atlas; attains; how’s my waterway; waters; usgs stream gauges; census tiger/line; american community survey the portal integrates data from multiple organizations, so sampling designs, parameters, laboratory methods, detection limits, units and temporal coverage differ. the current application is also reporting failures when loading several core layers, including site data, data volume by county, impaired waters and approved tmdl sites. public environmental-monitoring data. retain the submitting-organization identifier, site identifier, result qualifiers, units, analytical method and detection-limit fields. use the original provider or national water quality portal for reproducible extraction and source verification</v>
      </c>
    </row>
    <row r="94" spans="1:36" ht="57" customHeight="1">
      <c r="A94" s="1" t="s">
        <v>1513</v>
      </c>
      <c r="B94" s="9" t="s">
        <v>1514</v>
      </c>
      <c r="C94" s="3" t="s">
        <v>1515</v>
      </c>
      <c r="D94" s="4" t="s">
        <v>1516</v>
      </c>
      <c r="E94" s="1" t="s">
        <v>1517</v>
      </c>
      <c r="F94" s="3" t="s">
        <v>1518</v>
      </c>
      <c r="G94" s="3" t="s">
        <v>905</v>
      </c>
      <c r="H94" s="3" t="s">
        <v>62</v>
      </c>
      <c r="I94" s="3" t="s">
        <v>937</v>
      </c>
      <c r="J94" s="3" t="s">
        <v>1519</v>
      </c>
      <c r="K94" s="3" t="s">
        <v>1520</v>
      </c>
      <c r="L94" s="3" t="s">
        <v>323</v>
      </c>
      <c r="M94" s="3" t="s">
        <v>1521</v>
      </c>
      <c r="N94" s="3" t="s">
        <v>1522</v>
      </c>
      <c r="O94" s="3" t="s">
        <v>942</v>
      </c>
      <c r="P94" s="3" t="s">
        <v>1523</v>
      </c>
      <c r="Q94" s="3" t="s">
        <v>49</v>
      </c>
      <c r="R94" s="3" t="s">
        <v>52</v>
      </c>
      <c r="S94" s="3" t="s">
        <v>51</v>
      </c>
      <c r="T94" s="3" t="s">
        <v>52</v>
      </c>
      <c r="U94" s="1" t="s">
        <v>1524</v>
      </c>
      <c r="V94" s="3" t="s">
        <v>1525</v>
      </c>
      <c r="W94" s="3" t="s">
        <v>42</v>
      </c>
      <c r="X94" s="3" t="s">
        <v>42</v>
      </c>
      <c r="Y94" s="3" t="s">
        <v>1526</v>
      </c>
      <c r="Z94" s="3" t="s">
        <v>1527</v>
      </c>
      <c r="AA94" s="3" t="s">
        <v>1528</v>
      </c>
      <c r="AB94" s="3" t="s">
        <v>1529</v>
      </c>
      <c r="AC94" s="3" t="s">
        <v>1530</v>
      </c>
      <c r="AD94" s="3"/>
      <c r="AE94" s="3" t="s">
        <v>51</v>
      </c>
      <c r="AF94" s="10">
        <v>46226</v>
      </c>
      <c r="AG94" s="3" t="s">
        <v>117</v>
      </c>
      <c r="AH94" s="3" t="s">
        <v>42</v>
      </c>
      <c r="AI94" s="3" t="s">
        <v>63</v>
      </c>
      <c r="AJ94" s="3" t="str">
        <f t="shared" si="3"/>
        <v>south carolina department of natural resources gis open data scdnr arcgis online statewide gis layers, web maps, applications and spatial services covering natural resources, geology, hydrology, wildlife, habitats, public lands, elevation and related environmental features public arcgis online content, web maps, map services and downloadable gis products; availability and formats vary by layer, and some specialized products require a request open/public with terms south carolina/local data environmental exposure; sdoh/geospatial; hydrology; geology; wildlife; habitats; public lands; elevation south carolina gis, scdnr, natural resources, wildlife, habitat, hydrology, geology, public lands, lidar, elevation, wetlands, coastal resources, arcgis geospatial/area-level natural resources, land and water resources, biodiversity, coastal resources, geology, elevation, managed lands and environmental context south carolina environment, natural resources, wildlife habitats, water resources, land areas and managed properties south carolina statewide layers; county; watershed; parcel or managed-land tract; point, line, polygon, raster and site-specific features other high coordinates, boundaries, land ownership or management, habitat type, hydrography, elevation, geology, wells, protected lands, species or biological resources and layer-specific attributes environmental exposure linkage; proximity and buffer analysis; rural and natural-resource context; watershed linkage; public-land access; habitat and coastal analyses; map development scdes gis hub; epa enviroatlas; annual nlcd; pad-us; wqp; fema national risk index; census tiger/line; acs broad portal rather than one standardized dataset; metadata, dates, resolution, completeness and update schedules differ by layer; boundaries may not be legally authoritative; some older products remain available; specialized gis software may be required public data are generally provided as-is; review each layer’s metadata, use limitations, attribution requirements and positional-accuracy statements before analysis</v>
      </c>
    </row>
    <row r="95" spans="1:36" ht="85.5" customHeight="1">
      <c r="A95" s="1" t="s">
        <v>1531</v>
      </c>
      <c r="B95" s="8" t="s">
        <v>1532</v>
      </c>
      <c r="C95" s="3" t="s">
        <v>1533</v>
      </c>
      <c r="D95" s="4" t="s">
        <v>934</v>
      </c>
      <c r="E95" s="1" t="s">
        <v>1534</v>
      </c>
      <c r="F95" s="3" t="s">
        <v>1535</v>
      </c>
      <c r="G95" s="3" t="s">
        <v>224</v>
      </c>
      <c r="H95" s="3" t="s">
        <v>137</v>
      </c>
      <c r="I95" s="3" t="s">
        <v>937</v>
      </c>
      <c r="J95" s="3" t="s">
        <v>1536</v>
      </c>
      <c r="K95" s="3" t="s">
        <v>1537</v>
      </c>
      <c r="L95" s="3" t="s">
        <v>290</v>
      </c>
      <c r="M95" s="3" t="s">
        <v>1538</v>
      </c>
      <c r="N95" s="3" t="s">
        <v>1539</v>
      </c>
      <c r="O95" s="3" t="s">
        <v>942</v>
      </c>
      <c r="P95" s="3" t="s">
        <v>1540</v>
      </c>
      <c r="Q95" s="3" t="s">
        <v>294</v>
      </c>
      <c r="R95" s="3" t="s">
        <v>52</v>
      </c>
      <c r="S95" s="3" t="s">
        <v>51</v>
      </c>
      <c r="T95" s="3" t="s">
        <v>51</v>
      </c>
      <c r="U95" s="1" t="s">
        <v>1541</v>
      </c>
      <c r="V95" s="3" t="s">
        <v>1542</v>
      </c>
      <c r="W95" s="3" t="s">
        <v>42</v>
      </c>
      <c r="X95" s="3" t="s">
        <v>42</v>
      </c>
      <c r="Y95" s="3" t="s">
        <v>1543</v>
      </c>
      <c r="Z95" s="3" t="s">
        <v>1544</v>
      </c>
      <c r="AA95" s="3" t="s">
        <v>1545</v>
      </c>
      <c r="AB95" s="3" t="s">
        <v>1546</v>
      </c>
      <c r="AC95" s="3" t="s">
        <v>1547</v>
      </c>
      <c r="AD95" s="3"/>
      <c r="AE95" s="3" t="s">
        <v>51</v>
      </c>
      <c r="AF95" s="10">
        <v>46226</v>
      </c>
      <c r="AG95" s="3" t="s">
        <v>117</v>
      </c>
      <c r="AH95" s="3" t="s">
        <v>42</v>
      </c>
      <c r="AI95" s="3" t="s">
        <v>63</v>
      </c>
      <c r="AJ95" s="3" t="str">
        <f t="shared" si="3"/>
        <v>south carolina dph data, maps, reports sc sea grant / college of charleston central portal for south carolina public-health dashboards, surveillance reports, statistics, maps and topic-specific data products public dashboards, reports, maps and downloadable summary tables; confidential or record-level health data are not generally distributed through the public portal open/public south carolina/local data chronic disease; cancer; maternal/child health; mental health; substance use; hiv/infectious disease; environmental health; vital statistics south carolina public health, scdph, health dashboard, county health, vital statistics, disease surveillance, hiv, aids, std, mortality, births, environmental health reports/dashboard population health, disease surveillance, mortality, morbidity, maternal and child health, infectious disease, hiv/stis, overdose, environmental health and health-care indicators south carolina residents and topic-specific subpopulations represented in public-health surveillance systems south carolina state, county, health region and other topic-specific reporting geographies report/dashboard high counts, rates, percentages, prevalence, incidence, mortality, demographics, age, sex, race/ethnicity, county, year, disease indicators, risk factors and health outcomes county health profiles; public-health needs assessment; disease-trend analysis; hiv and infectious-disease context; disparity analysis; surveillance summaries; grant and program planning cdc places; cdc wonder; cdc atlasplus; brfss; acs; county health rankings; south carolina health compass; sc tracking; south carolina vital-statistics reports broad collection rather than one harmonized dataset; definitions, denominators, periods and update schedules differ by program; dashboards may suppress unstable or confidential estimates; some reports provide pdfs rather than analysis-ready files public products are primarily aggregated or de-identified; small counts may be suppressed; access to identifiable surveillance, vital-record or patient-level data requires separate authorization and governance review</v>
      </c>
    </row>
    <row r="96" spans="1:36" ht="42.75" customHeight="1">
      <c r="A96" s="1" t="s">
        <v>1548</v>
      </c>
      <c r="B96" s="9" t="s">
        <v>1514</v>
      </c>
      <c r="C96" s="3" t="s">
        <v>1549</v>
      </c>
      <c r="D96" s="4" t="s">
        <v>1550</v>
      </c>
      <c r="E96" s="1" t="s">
        <v>1551</v>
      </c>
      <c r="F96" s="3" t="s">
        <v>1552</v>
      </c>
      <c r="G96" s="3" t="s">
        <v>224</v>
      </c>
      <c r="H96" s="3" t="s">
        <v>137</v>
      </c>
      <c r="I96" s="3" t="s">
        <v>937</v>
      </c>
      <c r="J96" s="3" t="s">
        <v>1553</v>
      </c>
      <c r="K96" s="3" t="s">
        <v>1554</v>
      </c>
      <c r="L96" s="3" t="s">
        <v>323</v>
      </c>
      <c r="M96" s="3" t="s">
        <v>1555</v>
      </c>
      <c r="N96" s="3" t="s">
        <v>1556</v>
      </c>
      <c r="O96" s="3" t="s">
        <v>942</v>
      </c>
      <c r="P96" s="3" t="s">
        <v>1557</v>
      </c>
      <c r="Q96" s="3" t="s">
        <v>49</v>
      </c>
      <c r="R96" s="3" t="s">
        <v>52</v>
      </c>
      <c r="S96" s="3" t="s">
        <v>51</v>
      </c>
      <c r="T96" s="3" t="s">
        <v>52</v>
      </c>
      <c r="U96" s="1" t="s">
        <v>1558</v>
      </c>
      <c r="V96" s="3" t="s">
        <v>1559</v>
      </c>
      <c r="W96" s="3" t="s">
        <v>42</v>
      </c>
      <c r="X96" s="3" t="s">
        <v>42</v>
      </c>
      <c r="Y96" s="3" t="s">
        <v>1560</v>
      </c>
      <c r="Z96" s="3" t="s">
        <v>1561</v>
      </c>
      <c r="AA96" s="3" t="s">
        <v>1562</v>
      </c>
      <c r="AB96" s="3" t="s">
        <v>1563</v>
      </c>
      <c r="AC96" s="3" t="s">
        <v>1564</v>
      </c>
      <c r="AD96" s="3"/>
      <c r="AE96" s="3" t="s">
        <v>51</v>
      </c>
      <c r="AF96" s="10">
        <v>46226</v>
      </c>
      <c r="AG96" s="3" t="s">
        <v>117</v>
      </c>
      <c r="AH96" s="3" t="s">
        <v>42</v>
      </c>
      <c r="AI96" s="3" t="s">
        <v>63</v>
      </c>
      <c r="AJ96" s="3" t="str">
        <f>LOWER(_xlfn.SINGLE(_xlfn.TEXTJOIN(" ", TRUE, B92, C92, E96, F96, G96, I96, J96, K96, L96, M96, N96, O96, P96, Q96, X96, Y96, Z96, AA96, AB96, AC96, AD96)))</f>
        <v>south carolina department of environmental services gis hub scdes gis hub public gis hub for discovering, viewing, downloading, and accessing south carolina natural-resource and environmental spatial datasets public arcgis hub; downloadable formats include csv, kml, zip, geojson, geotiff, and png; geoservices, wms, wfs, and other api links may be available by layer open/public south carolina/local data environmental exposure; sdoh/geospatial; land cover; geology; hydrology; biodiversity; wildlife; coastal resources; public lands scdnr, south carolina gis, natural resources, environmental gis, geology, hydrology, wildlife, habitat, public lands, coastal resources, land cover, lidar, arcgis geospatial/area-level natural resources, land cover, geology, elevation, hydrography, habitats, wildlife, fisheries, coastal resources, public lands and recreational access south carolina lands, waters, natural resources, habitats, wildlife populations and managed properties south carolina points, sites, lines, polygons, watersheds, counties, managed-land tracts and raster grid cells; varies by layer other high coordinates, feature boundaries, area, land-cover class, elevation, geology, hydrography, habitat type, species-related attributes, ownership or management status, facility or access-point characteristics environmental and geographic linkage; proximity and buffer analysis; watershed context; habitat and biodiversity research; public-land and recreation access; rural and coastal analyses scdes gis hub; annual nlcd; pad-us; water quality portal; prism; gridmet; fema national risk index; census tiger/line; american community survey portal contains many independently produced layers; vintages, completeness, resolution, coordinate systems and update schedules differ; some layers are historical; mapped boundaries may not represent legal property boundaries review each layer’s metadata, attribution, license and use constraints; retain source agency and dataset version; do not treat reference boundaries as legally authoritative</v>
      </c>
    </row>
    <row r="97" spans="1:36" ht="42.75" customHeight="1">
      <c r="A97" s="1" t="s">
        <v>1565</v>
      </c>
      <c r="B97" s="8" t="s">
        <v>1532</v>
      </c>
      <c r="C97" s="3" t="s">
        <v>1566</v>
      </c>
      <c r="D97" s="4" t="s">
        <v>1567</v>
      </c>
      <c r="E97" s="1" t="s">
        <v>1568</v>
      </c>
      <c r="F97" s="3" t="s">
        <v>1569</v>
      </c>
      <c r="G97" s="3" t="s">
        <v>224</v>
      </c>
      <c r="H97" s="3" t="s">
        <v>137</v>
      </c>
      <c r="I97" s="3" t="s">
        <v>937</v>
      </c>
      <c r="J97" s="3" t="s">
        <v>1570</v>
      </c>
      <c r="K97" s="3" t="s">
        <v>1571</v>
      </c>
      <c r="L97" s="3" t="s">
        <v>290</v>
      </c>
      <c r="M97" s="3" t="s">
        <v>1572</v>
      </c>
      <c r="N97" s="3" t="s">
        <v>1573</v>
      </c>
      <c r="O97" s="3" t="s">
        <v>942</v>
      </c>
      <c r="P97" s="3" t="s">
        <v>1574</v>
      </c>
      <c r="Q97" s="3" t="s">
        <v>294</v>
      </c>
      <c r="R97" s="3" t="s">
        <v>52</v>
      </c>
      <c r="S97" s="3" t="s">
        <v>51</v>
      </c>
      <c r="T97" s="3" t="s">
        <v>52</v>
      </c>
      <c r="U97" s="1" t="s">
        <v>1575</v>
      </c>
      <c r="V97" s="3" t="s">
        <v>1576</v>
      </c>
      <c r="W97" s="3" t="s">
        <v>62</v>
      </c>
      <c r="X97" s="3" t="s">
        <v>42</v>
      </c>
      <c r="Y97" s="3" t="s">
        <v>1577</v>
      </c>
      <c r="Z97" s="3" t="s">
        <v>1578</v>
      </c>
      <c r="AA97" s="3" t="s">
        <v>1579</v>
      </c>
      <c r="AB97" s="3" t="s">
        <v>1580</v>
      </c>
      <c r="AC97" s="3" t="s">
        <v>1581</v>
      </c>
      <c r="AD97" s="3"/>
      <c r="AE97" s="3" t="s">
        <v>60</v>
      </c>
      <c r="AF97" s="10">
        <v>46226</v>
      </c>
      <c r="AG97" s="3" t="s">
        <v>117</v>
      </c>
      <c r="AH97" s="3" t="s">
        <v>62</v>
      </c>
      <c r="AI97" s="3" t="s">
        <v>63</v>
      </c>
      <c r="AJ97" s="3" t="str">
        <f t="shared" ref="AJ97:AJ106" si="4">LOWER(_xlfn.SINGLE(_xlfn.TEXTJOIN(" ", TRUE, B97, C97, E97, F97, G97, I97, J97, K97, L97, M97, N97, O97, P97, Q97, X97, Y97, Z97, AA97, AB97, AC97, AD97)))</f>
        <v>south carolina dph data, maps, reports data, maps, reports public landing page for interactive health applications, service-location maps, monitoring tools, assessments and other south carolina public-health mapping products public web applications and interactive maps; download, api and export functionality vary by individual application; no unified bulk download open/public south carolina/local data hiv/infectious disease; health care utilization/cost; sdoh/geospatial; cancer; environmental exposure; food/nutrition; provider locations south carolina dph, health maps, health applications, clinic locator, hiv clinic, std clinic, hepatitis clinic, health facility, cancer map, rabies, mosquito disease, food desert, vaccine location reports/dashboard health-service access, clinic and facility locations, vaccination, cancer, hiv/sti/hepatitis services, mosquito-borne disease, rabies, food markets and food access south carolina residents, health-service users, facilities, providers and populations represented in application-specific public-health data south carolina state, county, facility, clinic, provider location, service area and other application-specific geography report/dashboard high facility or clinic name, service type, address, coordinates, county, provider category, disease or monitoring indicator, counts, rates and application-specific geographic measures locate hiv/sti/hepatitis clinics and other health services; map geographic access to care; identify facility locations; support community needs assessments; examine food access and selected public-health monitoring indicators sc dph public health data; sc dph all data dashboards; sc tracking; sc health compass; hiv, aids &amp; stds data and reports; census tiger/line; american community survey this is an application directory rather than one harmonized dataset; content, definitions, years, refresh schedules and export options differ by application; some tools are designed for service discovery rather than statistical analysis public products generally contain aggregated, nonidentifiable or facility-location information; individual-level surveillance and clinical records require separate authorization; review each application’s privacy and suppression rules</v>
      </c>
    </row>
    <row r="98" spans="1:36" ht="28.5" customHeight="1">
      <c r="A98" s="1" t="s">
        <v>1582</v>
      </c>
      <c r="B98" s="8" t="s">
        <v>1583</v>
      </c>
      <c r="C98" s="3" t="s">
        <v>1584</v>
      </c>
      <c r="D98" s="4" t="s">
        <v>1585</v>
      </c>
      <c r="E98" s="1"/>
      <c r="F98" s="3"/>
      <c r="G98" s="3"/>
      <c r="H98" s="3"/>
      <c r="I98" s="3"/>
      <c r="J98" s="3"/>
      <c r="K98" s="3"/>
      <c r="L98" s="3"/>
      <c r="M98" s="3"/>
      <c r="N98" s="3"/>
      <c r="O98" s="3"/>
      <c r="Q98" s="3"/>
      <c r="R98" s="3"/>
      <c r="S98" s="3"/>
      <c r="T98" s="3"/>
      <c r="U98" s="1"/>
      <c r="V98" s="3"/>
      <c r="W98" s="3"/>
      <c r="X98" s="3"/>
      <c r="Y98" s="3"/>
      <c r="Z98" s="3"/>
      <c r="AA98" s="3"/>
      <c r="AB98" s="3"/>
      <c r="AC98" s="3"/>
      <c r="AD98" s="3"/>
      <c r="AE98" s="3"/>
      <c r="AF98" s="10"/>
      <c r="AG98" s="3"/>
      <c r="AH98" s="3"/>
      <c r="AI98" s="3"/>
      <c r="AJ98" s="3" t="str">
        <f t="shared" si="4"/>
        <v>national survey of children's health the natonal survey of children's health</v>
      </c>
    </row>
    <row r="99" spans="1:36" ht="28.5" customHeight="1">
      <c r="A99" s="1" t="s">
        <v>1586</v>
      </c>
      <c r="B99" s="8" t="s">
        <v>1587</v>
      </c>
      <c r="C99" s="3" t="s">
        <v>1588</v>
      </c>
      <c r="D99" s="4" t="s">
        <v>1589</v>
      </c>
      <c r="E99" s="1"/>
      <c r="F99" s="3"/>
      <c r="G99" s="3"/>
      <c r="H99" s="3"/>
      <c r="I99" s="3"/>
      <c r="J99" s="3"/>
      <c r="K99" s="3"/>
      <c r="L99" s="3"/>
      <c r="M99" s="3"/>
      <c r="N99" s="3"/>
      <c r="O99" s="3"/>
      <c r="Q99" s="3"/>
      <c r="R99" s="3"/>
      <c r="S99" s="3"/>
      <c r="T99" s="3"/>
      <c r="U99" s="1"/>
      <c r="V99" s="3"/>
      <c r="W99" s="3"/>
      <c r="X99" s="3"/>
      <c r="Y99" s="3"/>
      <c r="Z99" s="3"/>
      <c r="AA99" s="3"/>
      <c r="AB99" s="3"/>
      <c r="AC99" s="3"/>
      <c r="AD99" s="3"/>
      <c r="AE99" s="3"/>
      <c r="AF99" s="10"/>
      <c r="AG99" s="3"/>
      <c r="AH99" s="3"/>
      <c r="AI99" s="3"/>
      <c r="AJ99" s="3" t="str">
        <f t="shared" si="4"/>
        <v>national ambulatory medical care survey national ambulatory medica care survey</v>
      </c>
    </row>
    <row r="100" spans="1:36" ht="15">
      <c r="A100" s="1" t="s">
        <v>1590</v>
      </c>
      <c r="B100" s="8" t="s">
        <v>1591</v>
      </c>
      <c r="C100" s="3" t="s">
        <v>1591</v>
      </c>
      <c r="D100" s="13" t="s">
        <v>1592</v>
      </c>
      <c r="E100" s="1"/>
      <c r="F100" s="3"/>
      <c r="G100" s="3"/>
      <c r="H100" s="3"/>
      <c r="I100" s="3"/>
      <c r="J100" s="3"/>
      <c r="K100" s="3"/>
      <c r="L100" s="3"/>
      <c r="M100" s="3"/>
      <c r="N100" s="3"/>
      <c r="O100" s="3"/>
      <c r="Q100" s="3"/>
      <c r="R100" s="3"/>
      <c r="S100" s="3"/>
      <c r="T100" s="3"/>
      <c r="U100" s="1"/>
      <c r="V100" s="3"/>
      <c r="W100" s="3"/>
      <c r="X100" s="3"/>
      <c r="Y100" s="3"/>
      <c r="Z100" s="3"/>
      <c r="AA100" s="3"/>
      <c r="AB100" s="3"/>
      <c r="AC100" s="3"/>
      <c r="AD100" s="3"/>
      <c r="AE100" s="3"/>
      <c r="AF100" s="10"/>
      <c r="AG100" s="3"/>
      <c r="AH100" s="3"/>
      <c r="AI100" s="3"/>
      <c r="AJ100" s="3" t="str">
        <f t="shared" si="4"/>
        <v>national hospital care survey national hospital care survey</v>
      </c>
    </row>
    <row r="101" spans="1:36" ht="28.5" customHeight="1">
      <c r="A101" s="1" t="s">
        <v>1593</v>
      </c>
      <c r="B101" s="8" t="s">
        <v>1594</v>
      </c>
      <c r="C101" s="3" t="s">
        <v>1595</v>
      </c>
      <c r="D101" s="13" t="s">
        <v>1596</v>
      </c>
      <c r="E101" s="1"/>
      <c r="F101" s="3"/>
      <c r="G101" s="3"/>
      <c r="H101" s="3"/>
      <c r="I101" s="3"/>
      <c r="J101" s="3"/>
      <c r="K101" s="3"/>
      <c r="L101" s="3"/>
      <c r="M101" s="3"/>
      <c r="N101" s="3"/>
      <c r="O101" s="3"/>
      <c r="Q101" s="3"/>
      <c r="R101" s="3"/>
      <c r="S101" s="3"/>
      <c r="T101" s="3"/>
      <c r="U101" s="1"/>
      <c r="V101" s="3"/>
      <c r="W101" s="3"/>
      <c r="X101" s="3"/>
      <c r="Y101" s="3"/>
      <c r="Z101" s="3"/>
      <c r="AA101" s="3"/>
      <c r="AB101" s="3"/>
      <c r="AC101" s="3"/>
      <c r="AD101" s="3"/>
      <c r="AE101" s="3"/>
      <c r="AF101" s="10"/>
      <c r="AG101" s="3"/>
      <c r="AH101" s="3"/>
      <c r="AI101" s="3"/>
      <c r="AJ101" s="3" t="str">
        <f t="shared" si="4"/>
        <v>national notifiable diseases surveillance system national notifiable diseases surveilance system (nndss)</v>
      </c>
    </row>
    <row r="102" spans="1:36" ht="28.5" customHeight="1">
      <c r="A102" s="1" t="s">
        <v>1597</v>
      </c>
      <c r="B102" s="8" t="s">
        <v>1598</v>
      </c>
      <c r="C102" s="3" t="s">
        <v>1598</v>
      </c>
      <c r="D102" s="13" t="s">
        <v>1599</v>
      </c>
      <c r="E102" s="1"/>
      <c r="F102" s="3"/>
      <c r="G102" s="3"/>
      <c r="H102" s="3"/>
      <c r="I102" s="3"/>
      <c r="J102" s="3"/>
      <c r="K102" s="3"/>
      <c r="L102" s="3"/>
      <c r="M102" s="3"/>
      <c r="N102" s="3"/>
      <c r="O102" s="3"/>
      <c r="Q102" s="3"/>
      <c r="R102" s="3"/>
      <c r="S102" s="3"/>
      <c r="T102" s="3"/>
      <c r="U102" s="1"/>
      <c r="V102" s="3"/>
      <c r="W102" s="3"/>
      <c r="X102" s="3"/>
      <c r="Y102" s="3"/>
      <c r="Z102" s="3"/>
      <c r="AA102" s="3"/>
      <c r="AB102" s="3"/>
      <c r="AC102" s="3"/>
      <c r="AD102" s="3"/>
      <c r="AE102" s="3"/>
      <c r="AF102" s="10"/>
      <c r="AG102" s="3"/>
      <c r="AH102" s="3"/>
      <c r="AI102" s="3"/>
      <c r="AJ102" s="3" t="str">
        <f t="shared" si="4"/>
        <v>national sleep research resource national sleep research resource</v>
      </c>
    </row>
    <row r="103" spans="1:36" ht="15">
      <c r="A103" s="1" t="s">
        <v>1600</v>
      </c>
      <c r="B103" s="8" t="s">
        <v>1601</v>
      </c>
      <c r="C103" s="3" t="s">
        <v>1601</v>
      </c>
      <c r="D103" s="13" t="s">
        <v>1602</v>
      </c>
      <c r="E103" s="1"/>
      <c r="F103" s="3"/>
      <c r="G103" s="3"/>
      <c r="H103" s="3"/>
      <c r="I103" s="3"/>
      <c r="J103" s="3"/>
      <c r="K103" s="3"/>
      <c r="L103" s="3"/>
      <c r="M103" s="3"/>
      <c r="N103" s="3"/>
      <c r="O103" s="3"/>
      <c r="Q103" s="3"/>
      <c r="R103" s="3"/>
      <c r="S103" s="3"/>
      <c r="T103" s="3"/>
      <c r="U103" s="1"/>
      <c r="V103" s="3"/>
      <c r="W103" s="3"/>
      <c r="X103" s="3"/>
      <c r="Y103" s="3"/>
      <c r="Z103" s="3"/>
      <c r="AA103" s="3"/>
      <c r="AB103" s="3"/>
      <c r="AC103" s="3"/>
      <c r="AD103" s="3"/>
      <c r="AE103" s="3"/>
      <c r="AF103" s="10"/>
      <c r="AG103" s="3"/>
      <c r="AH103" s="3"/>
      <c r="AI103" s="3"/>
      <c r="AJ103" s="3" t="str">
        <f t="shared" si="4"/>
        <v>nimh data archive nimh data archive</v>
      </c>
    </row>
    <row r="104" spans="1:36" ht="28.5" customHeight="1">
      <c r="A104" s="1" t="s">
        <v>1603</v>
      </c>
      <c r="B104" s="8" t="s">
        <v>1604</v>
      </c>
      <c r="C104" s="3" t="s">
        <v>1605</v>
      </c>
      <c r="D104" s="13" t="s">
        <v>1606</v>
      </c>
      <c r="E104" s="1"/>
      <c r="F104" s="3"/>
      <c r="G104" s="3"/>
      <c r="H104" s="3"/>
      <c r="I104" s="3"/>
      <c r="J104" s="3"/>
      <c r="K104" s="3"/>
      <c r="L104" s="3"/>
      <c r="M104" s="3"/>
      <c r="N104" s="3"/>
      <c r="O104" s="3"/>
      <c r="Q104" s="3"/>
      <c r="R104" s="3"/>
      <c r="S104" s="3"/>
      <c r="T104" s="3"/>
      <c r="U104" s="1"/>
      <c r="V104" s="3"/>
      <c r="W104" s="3"/>
      <c r="X104" s="3"/>
      <c r="Y104" s="3"/>
      <c r="Z104" s="3"/>
      <c r="AA104" s="3"/>
      <c r="AB104" s="3"/>
      <c r="AC104" s="3"/>
      <c r="AD104" s="3"/>
      <c r="AE104" s="3"/>
      <c r="AF104" s="10"/>
      <c r="AG104" s="3"/>
      <c r="AH104" s="3"/>
      <c r="AI104" s="3"/>
      <c r="AJ104" s="3" t="str">
        <f t="shared" si="4"/>
        <v>united states renal data system the united states renal data system (usrds)</v>
      </c>
    </row>
    <row r="105" spans="1:36" ht="28.5" customHeight="1">
      <c r="A105" s="1" t="s">
        <v>1607</v>
      </c>
      <c r="B105" s="8" t="s">
        <v>1608</v>
      </c>
      <c r="C105" s="3" t="s">
        <v>1609</v>
      </c>
      <c r="D105" s="13" t="s">
        <v>1610</v>
      </c>
      <c r="E105" s="1"/>
      <c r="F105" s="3"/>
      <c r="G105" s="3"/>
      <c r="H105" s="3"/>
      <c r="I105" s="3"/>
      <c r="J105" s="3"/>
      <c r="K105" s="3"/>
      <c r="L105" s="3"/>
      <c r="M105" s="3"/>
      <c r="N105" s="3"/>
      <c r="O105" s="3"/>
      <c r="Q105" s="3"/>
      <c r="R105" s="3"/>
      <c r="S105" s="3"/>
      <c r="T105" s="3"/>
      <c r="U105" s="1"/>
      <c r="V105" s="3"/>
      <c r="W105" s="3"/>
      <c r="X105" s="3"/>
      <c r="Y105" s="3"/>
      <c r="Z105" s="3"/>
      <c r="AA105" s="3"/>
      <c r="AB105" s="3"/>
      <c r="AC105" s="3"/>
      <c r="AD105" s="3"/>
      <c r="AE105" s="3"/>
      <c r="AF105" s="10"/>
      <c r="AG105" s="3"/>
      <c r="AH105" s="3"/>
      <c r="AI105" s="3"/>
      <c r="AJ105" s="3" t="str">
        <f t="shared" si="4"/>
        <v>national emergency medical services information system nemsis</v>
      </c>
    </row>
    <row r="106" spans="1:36" ht="42.75" customHeight="1">
      <c r="A106" s="1" t="s">
        <v>1611</v>
      </c>
      <c r="B106" s="8" t="s">
        <v>1612</v>
      </c>
      <c r="C106" s="3" t="s">
        <v>1613</v>
      </c>
      <c r="D106" s="13" t="s">
        <v>1614</v>
      </c>
      <c r="E106" s="1" t="s">
        <v>1615</v>
      </c>
      <c r="F106" s="3"/>
      <c r="G106" s="3"/>
      <c r="H106" s="3"/>
      <c r="I106" s="3"/>
      <c r="J106" s="3"/>
      <c r="K106" s="3"/>
      <c r="L106" s="3"/>
      <c r="M106" s="3"/>
      <c r="N106" s="3"/>
      <c r="O106" s="3"/>
      <c r="Q106" s="3"/>
      <c r="R106" s="3"/>
      <c r="S106" s="3"/>
      <c r="T106" s="3"/>
      <c r="U106" s="1"/>
      <c r="V106" s="3"/>
      <c r="W106" s="3"/>
      <c r="X106" s="3"/>
      <c r="Y106" s="3"/>
      <c r="Z106" s="3"/>
      <c r="AA106" s="3"/>
      <c r="AB106" s="3"/>
      <c r="AC106" s="3"/>
      <c r="AD106" s="3"/>
      <c r="AE106" s="3"/>
      <c r="AF106" s="10"/>
      <c r="AG106" s="3"/>
      <c r="AH106" s="3"/>
      <c r="AI106" s="3"/>
      <c r="AJ106" s="3" t="str">
        <f t="shared" si="4"/>
        <v>health information national trends survey hints nationally representative data about the american public's knowledge of, attitudes toward, and use of cancer- and health-related information</v>
      </c>
    </row>
    <row r="107" spans="1:36" ht="75">
      <c r="A107" s="1" t="s">
        <v>1630</v>
      </c>
      <c r="B107" s="8" t="s">
        <v>1616</v>
      </c>
      <c r="C107" s="3" t="s">
        <v>1616</v>
      </c>
      <c r="D107" s="13" t="s">
        <v>1617</v>
      </c>
      <c r="E107" s="1" t="s">
        <v>1618</v>
      </c>
      <c r="F107" s="3" t="s">
        <v>160</v>
      </c>
      <c r="G107" s="3" t="s">
        <v>160</v>
      </c>
      <c r="H107" s="3" t="s">
        <v>62</v>
      </c>
      <c r="I107" s="3" t="s">
        <v>580</v>
      </c>
      <c r="J107" s="3" t="s">
        <v>1619</v>
      </c>
      <c r="K107" s="3" t="s">
        <v>1620</v>
      </c>
      <c r="L107" s="3" t="s">
        <v>126</v>
      </c>
      <c r="M107" s="3" t="s">
        <v>1621</v>
      </c>
      <c r="N107" s="3" t="s">
        <v>1622</v>
      </c>
      <c r="O107" s="3" t="s">
        <v>48</v>
      </c>
      <c r="P107" t="s">
        <v>49</v>
      </c>
      <c r="Q107" s="3" t="s">
        <v>75</v>
      </c>
      <c r="R107" s="3" t="s">
        <v>51</v>
      </c>
      <c r="S107" s="3" t="s">
        <v>51</v>
      </c>
      <c r="T107" s="3" t="s">
        <v>51</v>
      </c>
      <c r="U107" s="1" t="s">
        <v>1623</v>
      </c>
      <c r="V107" s="3" t="s">
        <v>54</v>
      </c>
      <c r="W107" s="3" t="s">
        <v>129</v>
      </c>
      <c r="X107" s="3" t="s">
        <v>62</v>
      </c>
      <c r="Y107" s="3" t="s">
        <v>1624</v>
      </c>
      <c r="Z107" s="3" t="s">
        <v>1625</v>
      </c>
      <c r="AA107" s="3" t="s">
        <v>1626</v>
      </c>
      <c r="AB107" s="3" t="s">
        <v>1627</v>
      </c>
      <c r="AC107" s="3" t="s">
        <v>1628</v>
      </c>
      <c r="AD107" s="3"/>
      <c r="AE107" s="3"/>
      <c r="AF107" s="3"/>
      <c r="AG107" s="3"/>
      <c r="AH107" s="3"/>
      <c r="AI107" s="3"/>
      <c r="AJ107" s="3" t="s">
        <v>1629</v>
      </c>
    </row>
    <row r="108" spans="1:36">
      <c r="A108" s="3"/>
      <c r="B108" s="3"/>
      <c r="C108" s="3"/>
      <c r="D108" s="1"/>
      <c r="E108" s="1"/>
      <c r="F108" s="3"/>
      <c r="G108" s="3"/>
      <c r="H108" s="3"/>
      <c r="I108" s="3"/>
      <c r="J108" s="3"/>
      <c r="K108" s="3"/>
      <c r="L108" s="3"/>
      <c r="M108" s="3"/>
      <c r="N108" s="3"/>
      <c r="O108" s="3"/>
      <c r="Q108" s="3"/>
      <c r="R108" s="3"/>
      <c r="S108" s="3"/>
      <c r="T108" s="3"/>
      <c r="U108" s="1"/>
      <c r="V108" s="3"/>
      <c r="W108" s="3"/>
      <c r="X108" s="3"/>
      <c r="Y108" s="3"/>
      <c r="Z108" s="3"/>
      <c r="AA108" s="3"/>
      <c r="AB108" s="3"/>
      <c r="AC108" s="3"/>
      <c r="AD108" s="3"/>
      <c r="AE108" s="3"/>
      <c r="AF108" s="3"/>
      <c r="AG108" s="3"/>
      <c r="AH108" s="3"/>
      <c r="AI108" s="3"/>
      <c r="AJ108" s="3"/>
    </row>
    <row r="109" spans="1:36">
      <c r="A109" s="3"/>
      <c r="B109" s="3"/>
      <c r="C109" s="3"/>
      <c r="D109" s="1"/>
      <c r="E109" s="1"/>
      <c r="F109" s="3"/>
      <c r="G109" s="3"/>
      <c r="H109" s="3"/>
      <c r="I109" s="3"/>
      <c r="J109" s="3"/>
      <c r="K109" s="3"/>
      <c r="L109" s="3"/>
      <c r="M109" s="3"/>
      <c r="N109" s="3"/>
      <c r="O109" s="3"/>
      <c r="Q109" s="3"/>
      <c r="R109" s="3"/>
      <c r="S109" s="3"/>
      <c r="T109" s="3"/>
      <c r="U109" s="1"/>
      <c r="V109" s="3"/>
      <c r="W109" s="3"/>
      <c r="X109" s="3"/>
      <c r="Y109" s="3"/>
      <c r="Z109" s="3"/>
      <c r="AA109" s="3"/>
      <c r="AB109" s="3"/>
      <c r="AC109" s="3"/>
      <c r="AD109" s="3"/>
      <c r="AE109" s="3"/>
      <c r="AF109" s="3"/>
      <c r="AG109" s="3"/>
      <c r="AH109" s="3"/>
      <c r="AI109" s="3"/>
      <c r="AJ109" s="3"/>
    </row>
    <row r="110" spans="1:36">
      <c r="A110" s="3"/>
      <c r="B110" s="3"/>
      <c r="C110" s="3"/>
      <c r="D110" s="1"/>
      <c r="E110" s="1"/>
      <c r="F110" s="3"/>
      <c r="G110" s="3"/>
      <c r="H110" s="3"/>
      <c r="I110" s="3"/>
      <c r="J110" s="3"/>
      <c r="K110" s="3"/>
      <c r="L110" s="3"/>
      <c r="M110" s="3"/>
      <c r="N110" s="3"/>
      <c r="O110" s="3"/>
      <c r="Q110" s="3"/>
      <c r="R110" s="3"/>
      <c r="S110" s="3"/>
      <c r="T110" s="3"/>
      <c r="U110" s="1"/>
      <c r="V110" s="3"/>
      <c r="W110" s="3"/>
      <c r="X110" s="3"/>
      <c r="Y110" s="3"/>
      <c r="Z110" s="3"/>
      <c r="AA110" s="3"/>
      <c r="AB110" s="3"/>
      <c r="AC110" s="3"/>
      <c r="AD110" s="3"/>
      <c r="AE110" s="3"/>
      <c r="AF110" s="3"/>
      <c r="AG110" s="3"/>
      <c r="AH110" s="3"/>
      <c r="AI110" s="3"/>
      <c r="AJ110" s="3"/>
    </row>
    <row r="111" spans="1:36">
      <c r="A111" s="3"/>
      <c r="B111" s="3"/>
      <c r="C111" s="3"/>
      <c r="D111" s="1"/>
      <c r="E111" s="1"/>
      <c r="F111" s="3"/>
      <c r="G111" s="3"/>
      <c r="H111" s="3"/>
      <c r="I111" s="3"/>
      <c r="J111" s="3"/>
      <c r="K111" s="3"/>
      <c r="L111" s="3"/>
      <c r="M111" s="3"/>
      <c r="N111" s="3"/>
      <c r="O111" s="3"/>
      <c r="Q111" s="3"/>
      <c r="R111" s="3"/>
      <c r="S111" s="3"/>
      <c r="T111" s="3"/>
      <c r="U111" s="1"/>
      <c r="V111" s="3"/>
      <c r="W111" s="3"/>
      <c r="X111" s="3"/>
      <c r="Y111" s="3"/>
      <c r="Z111" s="3"/>
      <c r="AA111" s="3"/>
      <c r="AB111" s="3"/>
      <c r="AC111" s="3"/>
      <c r="AD111" s="3"/>
      <c r="AE111" s="3"/>
      <c r="AF111" s="3"/>
      <c r="AG111" s="3"/>
      <c r="AH111" s="3"/>
      <c r="AI111" s="3"/>
      <c r="AJ111" s="3"/>
    </row>
    <row r="112" spans="1:36">
      <c r="A112" s="3"/>
      <c r="B112" s="3"/>
      <c r="C112" s="3"/>
      <c r="D112" s="1"/>
      <c r="E112" s="1"/>
      <c r="F112" s="3"/>
      <c r="G112" s="3"/>
      <c r="H112" s="3"/>
      <c r="I112" s="3"/>
      <c r="J112" s="3"/>
      <c r="K112" s="3"/>
      <c r="L112" s="3"/>
      <c r="M112" s="3"/>
      <c r="N112" s="3"/>
      <c r="O112" s="3"/>
      <c r="Q112" s="3"/>
      <c r="R112" s="3"/>
      <c r="S112" s="3"/>
      <c r="T112" s="3"/>
      <c r="U112" s="1"/>
      <c r="V112" s="3"/>
      <c r="W112" s="3"/>
      <c r="X112" s="3"/>
      <c r="Y112" s="3"/>
      <c r="Z112" s="3"/>
      <c r="AA112" s="3"/>
      <c r="AB112" s="3"/>
      <c r="AC112" s="3"/>
      <c r="AD112" s="3"/>
      <c r="AE112" s="3"/>
      <c r="AF112" s="3"/>
      <c r="AG112" s="3"/>
      <c r="AH112" s="3"/>
      <c r="AI112" s="3"/>
      <c r="AJ112" s="3"/>
    </row>
    <row r="113" spans="1:36">
      <c r="A113" s="3"/>
      <c r="B113" s="3"/>
      <c r="C113" s="3"/>
      <c r="D113" s="1"/>
      <c r="E113" s="1"/>
      <c r="F113" s="3"/>
      <c r="G113" s="3"/>
      <c r="H113" s="3"/>
      <c r="I113" s="3"/>
      <c r="J113" s="3"/>
      <c r="K113" s="3"/>
      <c r="L113" s="3"/>
      <c r="M113" s="3"/>
      <c r="N113" s="3"/>
      <c r="O113" s="3"/>
      <c r="Q113" s="3"/>
      <c r="R113" s="3"/>
      <c r="S113" s="3"/>
      <c r="T113" s="3"/>
      <c r="U113" s="1"/>
      <c r="V113" s="3"/>
      <c r="W113" s="3"/>
      <c r="X113" s="3"/>
      <c r="Y113" s="3"/>
      <c r="Z113" s="3"/>
      <c r="AA113" s="3"/>
      <c r="AB113" s="3"/>
      <c r="AC113" s="3"/>
      <c r="AD113" s="3"/>
      <c r="AE113" s="3"/>
      <c r="AF113" s="3"/>
      <c r="AG113" s="3"/>
      <c r="AH113" s="3"/>
      <c r="AI113" s="3"/>
      <c r="AJ113" s="3"/>
    </row>
    <row r="114" spans="1:36">
      <c r="A114" s="3"/>
      <c r="B114" s="3"/>
      <c r="C114" s="3"/>
      <c r="D114" s="1"/>
      <c r="E114" s="1"/>
      <c r="F114" s="3"/>
      <c r="G114" s="3"/>
      <c r="H114" s="3"/>
      <c r="I114" s="3"/>
      <c r="J114" s="3"/>
      <c r="K114" s="3"/>
      <c r="L114" s="3"/>
      <c r="M114" s="3"/>
      <c r="N114" s="3"/>
      <c r="O114" s="3"/>
      <c r="Q114" s="3"/>
      <c r="R114" s="3"/>
      <c r="S114" s="3"/>
      <c r="T114" s="3"/>
      <c r="U114" s="1"/>
      <c r="V114" s="3"/>
      <c r="W114" s="3"/>
      <c r="X114" s="3"/>
      <c r="Y114" s="3"/>
      <c r="Z114" s="3"/>
      <c r="AA114" s="3"/>
      <c r="AB114" s="3"/>
      <c r="AC114" s="3"/>
      <c r="AD114" s="3"/>
      <c r="AE114" s="3"/>
      <c r="AF114" s="3"/>
      <c r="AG114" s="3"/>
      <c r="AH114" s="3"/>
      <c r="AI114" s="3"/>
      <c r="AJ114" s="3"/>
    </row>
    <row r="115" spans="1:36">
      <c r="A115" s="3"/>
      <c r="B115" s="3"/>
      <c r="C115" s="3"/>
      <c r="D115" s="1"/>
      <c r="E115" s="1"/>
      <c r="F115" s="3"/>
      <c r="G115" s="3"/>
      <c r="H115" s="3"/>
      <c r="I115" s="3"/>
      <c r="J115" s="3"/>
      <c r="K115" s="3"/>
      <c r="L115" s="3"/>
      <c r="M115" s="3"/>
      <c r="N115" s="3"/>
      <c r="O115" s="3"/>
      <c r="Q115" s="3"/>
      <c r="R115" s="3"/>
      <c r="S115" s="3"/>
      <c r="T115" s="3"/>
      <c r="U115" s="1"/>
      <c r="V115" s="3"/>
      <c r="W115" s="3"/>
      <c r="X115" s="3"/>
      <c r="Y115" s="3"/>
      <c r="Z115" s="3"/>
      <c r="AA115" s="3"/>
      <c r="AB115" s="3"/>
      <c r="AC115" s="3"/>
      <c r="AD115" s="3"/>
      <c r="AE115" s="3"/>
      <c r="AF115" s="3"/>
      <c r="AG115" s="3"/>
      <c r="AH115" s="3"/>
      <c r="AI115" s="3"/>
      <c r="AJ115" s="3"/>
    </row>
    <row r="116" spans="1:36">
      <c r="A116" s="3"/>
      <c r="B116" s="3"/>
      <c r="C116" s="3"/>
      <c r="D116" s="1"/>
      <c r="E116" s="1"/>
      <c r="F116" s="3"/>
      <c r="G116" s="3"/>
      <c r="H116" s="3"/>
      <c r="I116" s="3"/>
      <c r="J116" s="3"/>
      <c r="K116" s="3"/>
      <c r="L116" s="3"/>
      <c r="M116" s="3"/>
      <c r="N116" s="3"/>
      <c r="O116" s="3"/>
      <c r="Q116" s="3"/>
      <c r="R116" s="3"/>
      <c r="S116" s="3"/>
      <c r="T116" s="3"/>
      <c r="U116" s="1"/>
      <c r="V116" s="3"/>
      <c r="W116" s="3"/>
      <c r="X116" s="3"/>
      <c r="Y116" s="3"/>
      <c r="Z116" s="3"/>
      <c r="AA116" s="3"/>
      <c r="AB116" s="3"/>
      <c r="AC116" s="3"/>
      <c r="AD116" s="3"/>
      <c r="AE116" s="3"/>
      <c r="AF116" s="3"/>
      <c r="AG116" s="3"/>
      <c r="AH116" s="3"/>
      <c r="AI116" s="3"/>
      <c r="AJ116" s="3"/>
    </row>
    <row r="117" spans="1:36">
      <c r="A117" s="3"/>
      <c r="B117" s="3"/>
      <c r="C117" s="3"/>
      <c r="D117" s="1"/>
      <c r="E117" s="1"/>
      <c r="F117" s="3"/>
      <c r="G117" s="3"/>
      <c r="H117" s="3"/>
      <c r="I117" s="3"/>
      <c r="J117" s="3"/>
      <c r="K117" s="3"/>
      <c r="L117" s="3"/>
      <c r="M117" s="3"/>
      <c r="N117" s="3"/>
      <c r="O117" s="3"/>
      <c r="Q117" s="3"/>
      <c r="R117" s="3"/>
      <c r="S117" s="3"/>
      <c r="T117" s="3"/>
      <c r="U117" s="1"/>
      <c r="V117" s="3"/>
      <c r="W117" s="3"/>
      <c r="X117" s="3"/>
      <c r="Y117" s="3"/>
      <c r="Z117" s="3"/>
      <c r="AA117" s="3"/>
      <c r="AB117" s="3"/>
      <c r="AC117" s="3"/>
      <c r="AD117" s="3"/>
      <c r="AE117" s="3"/>
      <c r="AF117" s="3"/>
      <c r="AG117" s="3"/>
      <c r="AH117" s="3"/>
      <c r="AI117" s="3"/>
      <c r="AJ117" s="3"/>
    </row>
    <row r="118" spans="1:36">
      <c r="A118" s="3"/>
      <c r="B118" s="3"/>
      <c r="C118" s="3"/>
      <c r="D118" s="1"/>
      <c r="E118" s="1"/>
      <c r="F118" s="3"/>
      <c r="G118" s="3"/>
      <c r="H118" s="3"/>
      <c r="I118" s="3"/>
      <c r="J118" s="3"/>
      <c r="K118" s="3"/>
      <c r="L118" s="3"/>
      <c r="M118" s="3"/>
      <c r="N118" s="3"/>
      <c r="O118" s="3"/>
      <c r="Q118" s="3"/>
      <c r="R118" s="3"/>
      <c r="S118" s="3"/>
      <c r="T118" s="3"/>
      <c r="U118" s="1"/>
      <c r="V118" s="3"/>
      <c r="W118" s="3"/>
      <c r="X118" s="3"/>
      <c r="Y118" s="3"/>
      <c r="Z118" s="3"/>
      <c r="AA118" s="3"/>
      <c r="AB118" s="3"/>
      <c r="AC118" s="3"/>
      <c r="AD118" s="3"/>
      <c r="AE118" s="3"/>
      <c r="AF118" s="3"/>
      <c r="AG118" s="3"/>
      <c r="AH118" s="3"/>
      <c r="AI118" s="3"/>
      <c r="AJ118" s="3"/>
    </row>
    <row r="119" spans="1:36">
      <c r="A119" s="3"/>
      <c r="B119" s="3"/>
      <c r="C119" s="3"/>
      <c r="D119" s="1"/>
      <c r="E119" s="1"/>
      <c r="F119" s="3"/>
      <c r="G119" s="3"/>
      <c r="H119" s="3"/>
      <c r="I119" s="3"/>
      <c r="J119" s="3"/>
      <c r="K119" s="3"/>
      <c r="L119" s="3"/>
      <c r="M119" s="3"/>
      <c r="N119" s="3"/>
      <c r="O119" s="3"/>
      <c r="Q119" s="3"/>
      <c r="R119" s="3"/>
      <c r="S119" s="3"/>
      <c r="T119" s="3"/>
      <c r="U119" s="1"/>
      <c r="V119" s="3"/>
      <c r="W119" s="3"/>
      <c r="X119" s="3"/>
      <c r="Y119" s="3"/>
      <c r="Z119" s="3"/>
      <c r="AA119" s="3"/>
      <c r="AB119" s="3"/>
      <c r="AC119" s="3"/>
      <c r="AD119" s="3"/>
      <c r="AE119" s="3"/>
      <c r="AF119" s="3"/>
      <c r="AG119" s="3"/>
      <c r="AH119" s="3"/>
      <c r="AI119" s="3"/>
      <c r="AJ119" s="3"/>
    </row>
    <row r="120" spans="1:36">
      <c r="A120" s="3"/>
      <c r="B120" s="3"/>
      <c r="C120" s="3"/>
      <c r="D120" s="1"/>
      <c r="E120" s="1"/>
      <c r="F120" s="3"/>
      <c r="G120" s="3"/>
      <c r="H120" s="3"/>
      <c r="I120" s="3"/>
      <c r="J120" s="3"/>
      <c r="K120" s="3"/>
      <c r="L120" s="3"/>
      <c r="M120" s="3"/>
      <c r="N120" s="3"/>
      <c r="O120" s="3"/>
      <c r="Q120" s="3"/>
      <c r="R120" s="3"/>
      <c r="S120" s="3"/>
      <c r="T120" s="3"/>
      <c r="U120" s="1"/>
      <c r="V120" s="3"/>
      <c r="W120" s="3"/>
      <c r="X120" s="3"/>
      <c r="Y120" s="3"/>
      <c r="Z120" s="3"/>
      <c r="AA120" s="3"/>
      <c r="AB120" s="3"/>
      <c r="AC120" s="3"/>
      <c r="AD120" s="3"/>
      <c r="AE120" s="3"/>
      <c r="AF120" s="3"/>
      <c r="AG120" s="3"/>
      <c r="AH120" s="3"/>
      <c r="AI120" s="3"/>
      <c r="AJ120" s="3"/>
    </row>
    <row r="121" spans="1:36">
      <c r="A121" s="3"/>
      <c r="B121" s="3"/>
      <c r="C121" s="3"/>
      <c r="D121" s="1"/>
      <c r="E121" s="1"/>
      <c r="F121" s="3"/>
      <c r="G121" s="3"/>
      <c r="H121" s="3"/>
      <c r="I121" s="3"/>
      <c r="J121" s="3"/>
      <c r="K121" s="3"/>
      <c r="L121" s="3"/>
      <c r="M121" s="3"/>
      <c r="N121" s="3"/>
      <c r="O121" s="3"/>
      <c r="Q121" s="3"/>
      <c r="R121" s="3"/>
      <c r="S121" s="3"/>
      <c r="T121" s="3"/>
      <c r="U121" s="1"/>
      <c r="V121" s="3"/>
      <c r="W121" s="3"/>
      <c r="X121" s="3"/>
      <c r="Y121" s="3"/>
      <c r="Z121" s="3"/>
      <c r="AA121" s="3"/>
      <c r="AB121" s="3"/>
      <c r="AC121" s="3"/>
      <c r="AD121" s="3"/>
      <c r="AE121" s="3"/>
      <c r="AF121" s="3"/>
      <c r="AG121" s="3"/>
      <c r="AH121" s="3"/>
      <c r="AI121" s="3"/>
      <c r="AJ121" s="3"/>
    </row>
    <row r="122" spans="1:36">
      <c r="A122" s="3"/>
      <c r="B122" s="3"/>
      <c r="C122" s="3"/>
      <c r="D122" s="1"/>
      <c r="E122" s="1"/>
      <c r="F122" s="3"/>
      <c r="G122" s="3"/>
      <c r="H122" s="3"/>
      <c r="I122" s="3"/>
      <c r="J122" s="3"/>
      <c r="K122" s="3"/>
      <c r="L122" s="3"/>
      <c r="M122" s="3"/>
      <c r="N122" s="3"/>
      <c r="O122" s="3"/>
      <c r="Q122" s="3"/>
      <c r="R122" s="3"/>
      <c r="S122" s="3"/>
      <c r="T122" s="3"/>
      <c r="U122" s="1"/>
      <c r="V122" s="3"/>
      <c r="W122" s="3"/>
      <c r="X122" s="3"/>
      <c r="Y122" s="3"/>
      <c r="Z122" s="3"/>
      <c r="AA122" s="3"/>
      <c r="AB122" s="3"/>
      <c r="AC122" s="3"/>
      <c r="AD122" s="3"/>
      <c r="AE122" s="3"/>
      <c r="AF122" s="3"/>
      <c r="AG122" s="3"/>
      <c r="AH122" s="3"/>
      <c r="AI122" s="3"/>
      <c r="AJ122" s="3"/>
    </row>
    <row r="123" spans="1:36">
      <c r="A123" s="3"/>
      <c r="B123" s="3"/>
      <c r="C123" s="3"/>
      <c r="D123" s="1"/>
      <c r="E123" s="1"/>
      <c r="F123" s="3"/>
      <c r="G123" s="3"/>
      <c r="H123" s="3"/>
      <c r="I123" s="3"/>
      <c r="J123" s="3"/>
      <c r="K123" s="3"/>
      <c r="L123" s="3"/>
      <c r="M123" s="3"/>
      <c r="N123" s="3"/>
      <c r="O123" s="3"/>
      <c r="Q123" s="3"/>
      <c r="R123" s="3"/>
      <c r="S123" s="3"/>
      <c r="T123" s="3"/>
      <c r="U123" s="1"/>
      <c r="V123" s="3"/>
      <c r="W123" s="3"/>
      <c r="X123" s="3"/>
      <c r="Y123" s="3"/>
      <c r="Z123" s="3"/>
      <c r="AA123" s="3"/>
      <c r="AB123" s="3"/>
      <c r="AC123" s="3"/>
      <c r="AD123" s="3"/>
      <c r="AE123" s="3"/>
      <c r="AF123" s="3"/>
      <c r="AG123" s="3"/>
      <c r="AH123" s="3"/>
      <c r="AI123" s="3"/>
      <c r="AJ123" s="3"/>
    </row>
    <row r="124" spans="1:36">
      <c r="A124" s="3"/>
      <c r="B124" s="3"/>
      <c r="C124" s="3"/>
      <c r="D124" s="1"/>
      <c r="E124" s="1"/>
      <c r="F124" s="3"/>
      <c r="G124" s="3"/>
      <c r="H124" s="3"/>
      <c r="I124" s="3"/>
      <c r="J124" s="3"/>
      <c r="K124" s="3"/>
      <c r="L124" s="3"/>
      <c r="M124" s="3"/>
      <c r="N124" s="3"/>
      <c r="O124" s="3"/>
      <c r="Q124" s="3"/>
      <c r="R124" s="3"/>
      <c r="S124" s="3"/>
      <c r="T124" s="3"/>
      <c r="U124" s="1"/>
      <c r="V124" s="3"/>
      <c r="W124" s="3"/>
      <c r="X124" s="3"/>
      <c r="Y124" s="3"/>
      <c r="Z124" s="3"/>
      <c r="AA124" s="3"/>
      <c r="AB124" s="3"/>
      <c r="AC124" s="3"/>
      <c r="AD124" s="3"/>
      <c r="AE124" s="3"/>
      <c r="AF124" s="3"/>
      <c r="AG124" s="3"/>
      <c r="AH124" s="3"/>
      <c r="AI124" s="3"/>
      <c r="AJ124" s="3"/>
    </row>
    <row r="125" spans="1:36">
      <c r="A125" s="3"/>
      <c r="B125" s="3"/>
      <c r="C125" s="3"/>
      <c r="D125" s="1"/>
      <c r="E125" s="1"/>
      <c r="F125" s="3"/>
      <c r="G125" s="3"/>
      <c r="H125" s="3"/>
      <c r="I125" s="3"/>
      <c r="J125" s="3"/>
      <c r="K125" s="3"/>
      <c r="L125" s="3"/>
      <c r="M125" s="3"/>
      <c r="N125" s="3"/>
      <c r="O125" s="3"/>
      <c r="Q125" s="3"/>
      <c r="R125" s="3"/>
      <c r="S125" s="3"/>
      <c r="T125" s="3"/>
      <c r="U125" s="1"/>
      <c r="V125" s="3"/>
      <c r="W125" s="3"/>
      <c r="X125" s="3"/>
      <c r="Y125" s="3"/>
      <c r="Z125" s="3"/>
      <c r="AA125" s="3"/>
      <c r="AB125" s="3"/>
      <c r="AC125" s="3"/>
      <c r="AD125" s="3"/>
      <c r="AE125" s="3"/>
      <c r="AF125" s="3"/>
      <c r="AG125" s="3"/>
      <c r="AH125" s="3"/>
      <c r="AI125" s="3"/>
      <c r="AJ125" s="3"/>
    </row>
    <row r="126" spans="1:36">
      <c r="A126" s="3"/>
      <c r="B126" s="3"/>
      <c r="C126" s="3"/>
      <c r="D126" s="1"/>
      <c r="E126" s="1"/>
      <c r="F126" s="3"/>
      <c r="G126" s="3"/>
      <c r="H126" s="3"/>
      <c r="I126" s="3"/>
      <c r="J126" s="3"/>
      <c r="K126" s="3"/>
      <c r="L126" s="3"/>
      <c r="M126" s="3"/>
      <c r="N126" s="3"/>
      <c r="O126" s="3"/>
      <c r="Q126" s="3"/>
      <c r="R126" s="3"/>
      <c r="S126" s="3"/>
      <c r="T126" s="3"/>
      <c r="U126" s="1"/>
      <c r="V126" s="3"/>
      <c r="W126" s="3"/>
      <c r="X126" s="3"/>
      <c r="Y126" s="3"/>
      <c r="Z126" s="3"/>
      <c r="AA126" s="3"/>
      <c r="AB126" s="3"/>
      <c r="AC126" s="3"/>
      <c r="AD126" s="3"/>
      <c r="AE126" s="3"/>
      <c r="AF126" s="3"/>
      <c r="AG126" s="3"/>
      <c r="AH126" s="3"/>
      <c r="AI126" s="3"/>
      <c r="AJ126" s="3"/>
    </row>
    <row r="127" spans="1:36">
      <c r="A127" s="3"/>
      <c r="B127" s="3"/>
      <c r="C127" s="3"/>
      <c r="D127" s="1"/>
      <c r="E127" s="1"/>
      <c r="F127" s="3"/>
      <c r="G127" s="3"/>
      <c r="H127" s="3"/>
      <c r="I127" s="3"/>
      <c r="J127" s="3"/>
      <c r="K127" s="3"/>
      <c r="L127" s="3"/>
      <c r="M127" s="3"/>
      <c r="N127" s="3"/>
      <c r="O127" s="3"/>
      <c r="Q127" s="3"/>
      <c r="R127" s="3"/>
      <c r="S127" s="3"/>
      <c r="T127" s="3"/>
      <c r="U127" s="1"/>
      <c r="V127" s="3"/>
      <c r="W127" s="3"/>
      <c r="X127" s="3"/>
      <c r="Y127" s="3"/>
      <c r="Z127" s="3"/>
      <c r="AA127" s="3"/>
      <c r="AB127" s="3"/>
      <c r="AC127" s="3"/>
      <c r="AD127" s="3"/>
      <c r="AE127" s="3"/>
      <c r="AF127" s="3"/>
      <c r="AG127" s="3"/>
      <c r="AH127" s="3"/>
      <c r="AI127" s="3"/>
      <c r="AJ127" s="3"/>
    </row>
    <row r="128" spans="1:36">
      <c r="A128" s="3"/>
      <c r="B128" s="3"/>
      <c r="C128" s="3"/>
      <c r="D128" s="1"/>
      <c r="E128" s="1"/>
      <c r="F128" s="3"/>
      <c r="G128" s="3"/>
      <c r="H128" s="3"/>
      <c r="I128" s="3"/>
      <c r="J128" s="3"/>
      <c r="K128" s="3"/>
      <c r="L128" s="3"/>
      <c r="M128" s="3"/>
      <c r="N128" s="3"/>
      <c r="O128" s="3"/>
      <c r="Q128" s="3"/>
      <c r="R128" s="3"/>
      <c r="S128" s="3"/>
      <c r="T128" s="3"/>
      <c r="U128" s="1"/>
      <c r="V128" s="3"/>
      <c r="W128" s="3"/>
      <c r="X128" s="3"/>
      <c r="Y128" s="3"/>
      <c r="Z128" s="3"/>
      <c r="AA128" s="3"/>
      <c r="AB128" s="3"/>
      <c r="AC128" s="3"/>
      <c r="AD128" s="3"/>
      <c r="AE128" s="3"/>
      <c r="AF128" s="3"/>
      <c r="AG128" s="3"/>
      <c r="AH128" s="3"/>
      <c r="AI128" s="3"/>
      <c r="AJ128" s="3"/>
    </row>
    <row r="129" spans="1:36">
      <c r="A129" s="3"/>
      <c r="B129" s="3"/>
      <c r="C129" s="3"/>
      <c r="D129" s="1"/>
      <c r="E129" s="1"/>
      <c r="F129" s="3"/>
      <c r="G129" s="3"/>
      <c r="H129" s="3"/>
      <c r="I129" s="3"/>
      <c r="J129" s="3"/>
      <c r="K129" s="3"/>
      <c r="L129" s="3"/>
      <c r="M129" s="3"/>
      <c r="N129" s="3"/>
      <c r="O129" s="3"/>
      <c r="Q129" s="3"/>
      <c r="R129" s="3"/>
      <c r="S129" s="3"/>
      <c r="T129" s="3"/>
      <c r="U129" s="1"/>
      <c r="V129" s="3"/>
      <c r="W129" s="3"/>
      <c r="X129" s="3"/>
      <c r="Y129" s="3"/>
      <c r="Z129" s="3"/>
      <c r="AA129" s="3"/>
      <c r="AB129" s="3"/>
      <c r="AC129" s="3"/>
      <c r="AD129" s="3"/>
      <c r="AE129" s="3"/>
      <c r="AF129" s="3"/>
      <c r="AG129" s="3"/>
      <c r="AH129" s="3"/>
      <c r="AI129" s="3"/>
      <c r="AJ129" s="3"/>
    </row>
    <row r="130" spans="1:36">
      <c r="A130" s="3"/>
      <c r="B130" s="3"/>
      <c r="C130" s="3"/>
      <c r="D130" s="1"/>
      <c r="E130" s="1"/>
      <c r="F130" s="3"/>
      <c r="G130" s="3"/>
      <c r="H130" s="3"/>
      <c r="I130" s="3"/>
      <c r="J130" s="3"/>
      <c r="K130" s="3"/>
      <c r="L130" s="3"/>
      <c r="M130" s="3"/>
      <c r="N130" s="3"/>
      <c r="O130" s="3"/>
      <c r="Q130" s="3"/>
      <c r="R130" s="3"/>
      <c r="S130" s="3"/>
      <c r="T130" s="3"/>
      <c r="U130" s="1"/>
      <c r="V130" s="3"/>
      <c r="W130" s="3"/>
      <c r="X130" s="3"/>
      <c r="Y130" s="3"/>
      <c r="Z130" s="3"/>
      <c r="AA130" s="3"/>
      <c r="AB130" s="3"/>
      <c r="AC130" s="3"/>
      <c r="AD130" s="3"/>
      <c r="AE130" s="3"/>
      <c r="AF130" s="3"/>
      <c r="AG130" s="3"/>
      <c r="AH130" s="3"/>
      <c r="AI130" s="3"/>
      <c r="AJ130" s="3"/>
    </row>
    <row r="131" spans="1:36">
      <c r="A131" s="3"/>
      <c r="B131" s="3"/>
      <c r="C131" s="3"/>
      <c r="D131" s="1"/>
      <c r="E131" s="1"/>
      <c r="F131" s="3"/>
      <c r="G131" s="3"/>
      <c r="H131" s="3"/>
      <c r="I131" s="3"/>
      <c r="J131" s="3"/>
      <c r="K131" s="3"/>
      <c r="L131" s="3"/>
      <c r="M131" s="3"/>
      <c r="N131" s="3"/>
      <c r="O131" s="3"/>
      <c r="Q131" s="3"/>
      <c r="R131" s="3"/>
      <c r="S131" s="3"/>
      <c r="T131" s="3"/>
      <c r="U131" s="1"/>
      <c r="V131" s="3"/>
      <c r="W131" s="3"/>
      <c r="X131" s="3"/>
      <c r="Y131" s="3"/>
      <c r="Z131" s="3"/>
      <c r="AA131" s="3"/>
      <c r="AB131" s="3"/>
      <c r="AC131" s="3"/>
      <c r="AD131" s="3"/>
      <c r="AE131" s="3"/>
      <c r="AF131" s="3"/>
      <c r="AG131" s="3"/>
      <c r="AH131" s="3"/>
      <c r="AI131" s="3"/>
      <c r="AJ131" s="3"/>
    </row>
    <row r="132" spans="1:36">
      <c r="A132" s="3"/>
      <c r="B132" s="3"/>
      <c r="C132" s="3"/>
      <c r="D132" s="1"/>
      <c r="E132" s="1"/>
      <c r="F132" s="3"/>
      <c r="G132" s="3"/>
      <c r="H132" s="3"/>
      <c r="I132" s="3"/>
      <c r="J132" s="3"/>
      <c r="K132" s="3"/>
      <c r="L132" s="3"/>
      <c r="M132" s="3"/>
      <c r="N132" s="3"/>
      <c r="O132" s="3"/>
      <c r="Q132" s="3"/>
      <c r="R132" s="3"/>
      <c r="S132" s="3"/>
      <c r="T132" s="3"/>
      <c r="U132" s="1"/>
      <c r="V132" s="3"/>
      <c r="W132" s="3"/>
      <c r="X132" s="3"/>
      <c r="Y132" s="3"/>
      <c r="Z132" s="3"/>
      <c r="AA132" s="3"/>
      <c r="AB132" s="3"/>
      <c r="AC132" s="3"/>
      <c r="AD132" s="3"/>
      <c r="AE132" s="3"/>
      <c r="AF132" s="3"/>
      <c r="AG132" s="3"/>
      <c r="AH132" s="3"/>
      <c r="AI132" s="3"/>
      <c r="AJ132" s="3"/>
    </row>
    <row r="133" spans="1:36">
      <c r="A133" s="3"/>
      <c r="B133" s="3"/>
      <c r="C133" s="3"/>
      <c r="D133" s="1"/>
      <c r="E133" s="1"/>
      <c r="F133" s="3"/>
      <c r="G133" s="3"/>
      <c r="H133" s="3"/>
      <c r="I133" s="3"/>
      <c r="J133" s="3"/>
      <c r="K133" s="3"/>
      <c r="L133" s="3"/>
      <c r="M133" s="3"/>
      <c r="N133" s="3"/>
      <c r="O133" s="3"/>
      <c r="Q133" s="3"/>
      <c r="R133" s="3"/>
      <c r="S133" s="3"/>
      <c r="T133" s="3"/>
      <c r="U133" s="1"/>
      <c r="V133" s="3"/>
      <c r="W133" s="3"/>
      <c r="X133" s="3"/>
      <c r="Y133" s="3"/>
      <c r="Z133" s="3"/>
      <c r="AA133" s="3"/>
      <c r="AB133" s="3"/>
      <c r="AC133" s="3"/>
      <c r="AD133" s="3"/>
      <c r="AE133" s="3"/>
      <c r="AF133" s="3"/>
      <c r="AG133" s="3"/>
      <c r="AH133" s="3"/>
      <c r="AI133" s="3"/>
      <c r="AJ133" s="3"/>
    </row>
    <row r="134" spans="1:36">
      <c r="A134" s="3"/>
      <c r="B134" s="3"/>
      <c r="C134" s="3"/>
      <c r="D134" s="1"/>
      <c r="E134" s="1"/>
      <c r="F134" s="3"/>
      <c r="G134" s="3"/>
      <c r="H134" s="3"/>
      <c r="I134" s="3"/>
      <c r="J134" s="3"/>
      <c r="K134" s="3"/>
      <c r="L134" s="3"/>
      <c r="M134" s="3"/>
      <c r="N134" s="3"/>
      <c r="O134" s="3"/>
      <c r="Q134" s="3"/>
      <c r="R134" s="3"/>
      <c r="S134" s="3"/>
      <c r="T134" s="3"/>
      <c r="U134" s="1"/>
      <c r="V134" s="3"/>
      <c r="W134" s="3"/>
      <c r="X134" s="3"/>
      <c r="Y134" s="3"/>
      <c r="Z134" s="3"/>
      <c r="AA134" s="3"/>
      <c r="AB134" s="3"/>
      <c r="AC134" s="3"/>
      <c r="AD134" s="3"/>
      <c r="AE134" s="3"/>
      <c r="AF134" s="3"/>
      <c r="AG134" s="3"/>
      <c r="AH134" s="3"/>
      <c r="AI134" s="3"/>
      <c r="AJ134" s="3"/>
    </row>
    <row r="135" spans="1:36">
      <c r="A135" s="3"/>
      <c r="B135" s="3"/>
      <c r="C135" s="3"/>
      <c r="D135" s="1"/>
      <c r="E135" s="1"/>
      <c r="F135" s="3"/>
      <c r="G135" s="3"/>
      <c r="H135" s="3"/>
      <c r="I135" s="3"/>
      <c r="J135" s="3"/>
      <c r="K135" s="3"/>
      <c r="L135" s="3"/>
      <c r="M135" s="3"/>
      <c r="N135" s="3"/>
      <c r="O135" s="3"/>
      <c r="Q135" s="3"/>
      <c r="R135" s="3"/>
      <c r="S135" s="3"/>
      <c r="T135" s="3"/>
      <c r="U135" s="1"/>
      <c r="V135" s="3"/>
      <c r="W135" s="3"/>
      <c r="X135" s="3"/>
      <c r="Y135" s="3"/>
      <c r="Z135" s="3"/>
      <c r="AA135" s="3"/>
      <c r="AB135" s="3"/>
      <c r="AC135" s="3"/>
      <c r="AD135" s="3"/>
      <c r="AE135" s="3"/>
      <c r="AF135" s="3"/>
      <c r="AG135" s="3"/>
      <c r="AH135" s="3"/>
      <c r="AI135" s="3"/>
      <c r="AJ135" s="3"/>
    </row>
    <row r="136" spans="1:36">
      <c r="A136" s="3"/>
      <c r="B136" s="3"/>
      <c r="C136" s="3"/>
      <c r="D136" s="1"/>
      <c r="E136" s="1"/>
      <c r="F136" s="3"/>
      <c r="G136" s="3"/>
      <c r="H136" s="3"/>
      <c r="I136" s="3"/>
      <c r="J136" s="3"/>
      <c r="K136" s="3"/>
      <c r="L136" s="3"/>
      <c r="M136" s="3"/>
      <c r="N136" s="3"/>
      <c r="O136" s="3"/>
      <c r="Q136" s="3"/>
      <c r="R136" s="3"/>
      <c r="S136" s="3"/>
      <c r="T136" s="3"/>
      <c r="U136" s="1"/>
      <c r="V136" s="3"/>
      <c r="W136" s="3"/>
      <c r="X136" s="3"/>
      <c r="Y136" s="3"/>
      <c r="Z136" s="3"/>
      <c r="AA136" s="3"/>
      <c r="AB136" s="3"/>
      <c r="AC136" s="3"/>
      <c r="AD136" s="3"/>
      <c r="AE136" s="3"/>
      <c r="AF136" s="3"/>
      <c r="AG136" s="3"/>
      <c r="AH136" s="3"/>
      <c r="AI136" s="3"/>
      <c r="AJ136" s="3"/>
    </row>
    <row r="137" spans="1:36">
      <c r="A137" s="3"/>
      <c r="B137" s="3"/>
      <c r="C137" s="3"/>
      <c r="D137" s="1"/>
      <c r="E137" s="1"/>
      <c r="F137" s="3"/>
      <c r="G137" s="3"/>
      <c r="H137" s="3"/>
      <c r="I137" s="3"/>
      <c r="J137" s="3"/>
      <c r="K137" s="3"/>
      <c r="L137" s="3"/>
      <c r="M137" s="3"/>
      <c r="N137" s="3"/>
      <c r="O137" s="3"/>
      <c r="Q137" s="3"/>
      <c r="R137" s="3"/>
      <c r="S137" s="3"/>
      <c r="T137" s="3"/>
      <c r="U137" s="1"/>
      <c r="V137" s="3"/>
      <c r="W137" s="3"/>
      <c r="X137" s="3"/>
      <c r="Y137" s="3"/>
      <c r="Z137" s="3"/>
      <c r="AA137" s="3"/>
      <c r="AB137" s="3"/>
      <c r="AC137" s="3"/>
      <c r="AD137" s="3"/>
      <c r="AE137" s="3"/>
      <c r="AF137" s="3"/>
      <c r="AG137" s="3"/>
      <c r="AH137" s="3"/>
      <c r="AI137" s="3"/>
      <c r="AJ137" s="3"/>
    </row>
    <row r="138" spans="1:36">
      <c r="A138" s="3"/>
      <c r="B138" s="3"/>
      <c r="C138" s="3"/>
      <c r="D138" s="1"/>
      <c r="E138" s="1"/>
      <c r="F138" s="3"/>
      <c r="G138" s="3"/>
      <c r="H138" s="3"/>
      <c r="I138" s="3"/>
      <c r="J138" s="3"/>
      <c r="K138" s="3"/>
      <c r="L138" s="3"/>
      <c r="M138" s="3"/>
      <c r="N138" s="3"/>
      <c r="O138" s="3"/>
      <c r="Q138" s="3"/>
      <c r="R138" s="3"/>
      <c r="S138" s="3"/>
      <c r="T138" s="3"/>
      <c r="U138" s="1"/>
      <c r="V138" s="3"/>
      <c r="W138" s="3"/>
      <c r="X138" s="3"/>
      <c r="Y138" s="3"/>
      <c r="Z138" s="3"/>
      <c r="AA138" s="3"/>
      <c r="AB138" s="3"/>
      <c r="AC138" s="3"/>
      <c r="AD138" s="3"/>
      <c r="AE138" s="3"/>
      <c r="AF138" s="3"/>
      <c r="AG138" s="3"/>
      <c r="AH138" s="3"/>
      <c r="AI138" s="3"/>
      <c r="AJ138" s="3"/>
    </row>
    <row r="139" spans="1:36">
      <c r="A139" s="3"/>
      <c r="B139" s="3"/>
      <c r="C139" s="3"/>
      <c r="D139" s="1"/>
      <c r="E139" s="1"/>
      <c r="F139" s="3"/>
      <c r="G139" s="3"/>
      <c r="H139" s="3"/>
      <c r="I139" s="3"/>
      <c r="J139" s="3"/>
      <c r="K139" s="3"/>
      <c r="L139" s="3"/>
      <c r="M139" s="3"/>
      <c r="N139" s="3"/>
      <c r="O139" s="3"/>
      <c r="Q139" s="3"/>
      <c r="R139" s="3"/>
      <c r="S139" s="3"/>
      <c r="T139" s="3"/>
      <c r="U139" s="1"/>
      <c r="V139" s="3"/>
      <c r="W139" s="3"/>
      <c r="X139" s="3"/>
      <c r="Y139" s="3"/>
      <c r="Z139" s="3"/>
      <c r="AA139" s="3"/>
      <c r="AB139" s="3"/>
      <c r="AC139" s="3"/>
      <c r="AD139" s="3"/>
      <c r="AE139" s="3"/>
      <c r="AF139" s="3"/>
      <c r="AG139" s="3"/>
      <c r="AH139" s="3"/>
      <c r="AI139" s="3"/>
      <c r="AJ139" s="3"/>
    </row>
    <row r="140" spans="1:36">
      <c r="A140" s="3"/>
      <c r="B140" s="3"/>
      <c r="C140" s="3"/>
      <c r="D140" s="1"/>
      <c r="E140" s="1"/>
      <c r="F140" s="3"/>
      <c r="G140" s="3"/>
      <c r="H140" s="3"/>
      <c r="I140" s="3"/>
      <c r="J140" s="3"/>
      <c r="K140" s="3"/>
      <c r="L140" s="3"/>
      <c r="M140" s="3"/>
      <c r="N140" s="3"/>
      <c r="O140" s="3"/>
      <c r="Q140" s="3"/>
      <c r="R140" s="3"/>
      <c r="S140" s="3"/>
      <c r="T140" s="3"/>
      <c r="U140" s="1"/>
      <c r="V140" s="3"/>
      <c r="W140" s="3"/>
      <c r="X140" s="3"/>
      <c r="Y140" s="3"/>
      <c r="Z140" s="3"/>
      <c r="AA140" s="3"/>
      <c r="AB140" s="3"/>
      <c r="AC140" s="3"/>
      <c r="AD140" s="3"/>
      <c r="AE140" s="3"/>
      <c r="AF140" s="3"/>
      <c r="AG140" s="3"/>
      <c r="AH140" s="3"/>
      <c r="AI140" s="3"/>
      <c r="AJ140" s="3"/>
    </row>
    <row r="141" spans="1:36">
      <c r="A141" s="3"/>
      <c r="B141" s="3"/>
      <c r="C141" s="3"/>
      <c r="D141" s="1"/>
      <c r="E141" s="1"/>
      <c r="F141" s="3"/>
      <c r="G141" s="3"/>
      <c r="H141" s="3"/>
      <c r="I141" s="3"/>
      <c r="J141" s="3"/>
      <c r="K141" s="3"/>
      <c r="L141" s="3"/>
      <c r="M141" s="3"/>
      <c r="N141" s="3"/>
      <c r="O141" s="3"/>
      <c r="Q141" s="3"/>
      <c r="R141" s="3"/>
      <c r="S141" s="3"/>
      <c r="T141" s="3"/>
      <c r="U141" s="1"/>
      <c r="V141" s="3"/>
      <c r="W141" s="3"/>
      <c r="X141" s="3"/>
      <c r="Y141" s="3"/>
      <c r="Z141" s="3"/>
      <c r="AA141" s="3"/>
      <c r="AB141" s="3"/>
      <c r="AC141" s="3"/>
      <c r="AD141" s="3"/>
      <c r="AE141" s="3"/>
      <c r="AF141" s="3"/>
      <c r="AG141" s="3"/>
      <c r="AH141" s="3"/>
      <c r="AI141" s="3"/>
      <c r="AJ141" s="3"/>
    </row>
    <row r="142" spans="1:36">
      <c r="A142" s="3"/>
      <c r="B142" s="3"/>
      <c r="C142" s="3"/>
      <c r="D142" s="1"/>
      <c r="E142" s="1"/>
      <c r="F142" s="3"/>
      <c r="G142" s="3"/>
      <c r="H142" s="3"/>
      <c r="I142" s="3"/>
      <c r="J142" s="3"/>
      <c r="K142" s="3"/>
      <c r="L142" s="3"/>
      <c r="M142" s="3"/>
      <c r="N142" s="3"/>
      <c r="O142" s="3"/>
      <c r="Q142" s="3"/>
      <c r="R142" s="3"/>
      <c r="S142" s="3"/>
      <c r="T142" s="3"/>
      <c r="U142" s="1"/>
      <c r="V142" s="3"/>
      <c r="W142" s="3"/>
      <c r="X142" s="3"/>
      <c r="Y142" s="3"/>
      <c r="Z142" s="3"/>
      <c r="AA142" s="3"/>
      <c r="AB142" s="3"/>
      <c r="AC142" s="3"/>
      <c r="AD142" s="3"/>
      <c r="AE142" s="3"/>
      <c r="AF142" s="3"/>
      <c r="AG142" s="3"/>
      <c r="AH142" s="3"/>
      <c r="AI142" s="3"/>
      <c r="AJ142" s="3"/>
    </row>
    <row r="143" spans="1:36">
      <c r="A143" s="3"/>
      <c r="B143" s="3"/>
      <c r="C143" s="3"/>
      <c r="D143" s="1"/>
      <c r="E143" s="1"/>
      <c r="F143" s="3"/>
      <c r="G143" s="3"/>
      <c r="H143" s="3"/>
      <c r="I143" s="3"/>
      <c r="J143" s="3"/>
      <c r="K143" s="3"/>
      <c r="L143" s="3"/>
      <c r="M143" s="3"/>
      <c r="N143" s="3"/>
      <c r="O143" s="3"/>
      <c r="Q143" s="3"/>
      <c r="R143" s="3"/>
      <c r="S143" s="3"/>
      <c r="T143" s="3"/>
      <c r="U143" s="1"/>
      <c r="V143" s="3"/>
      <c r="W143" s="3"/>
      <c r="X143" s="3"/>
      <c r="Y143" s="3"/>
      <c r="Z143" s="3"/>
      <c r="AA143" s="3"/>
      <c r="AB143" s="3"/>
      <c r="AC143" s="3"/>
      <c r="AD143" s="3"/>
      <c r="AE143" s="3"/>
      <c r="AF143" s="3"/>
      <c r="AG143" s="3"/>
      <c r="AH143" s="3"/>
      <c r="AI143" s="3"/>
      <c r="AJ143" s="3"/>
    </row>
    <row r="144" spans="1:36">
      <c r="A144" s="3"/>
      <c r="B144" s="3"/>
      <c r="C144" s="3"/>
      <c r="D144" s="1"/>
      <c r="E144" s="1"/>
      <c r="F144" s="3"/>
      <c r="G144" s="3"/>
      <c r="H144" s="3"/>
      <c r="I144" s="3"/>
      <c r="J144" s="3"/>
      <c r="K144" s="3"/>
      <c r="L144" s="3"/>
      <c r="M144" s="3"/>
      <c r="N144" s="3"/>
      <c r="O144" s="3"/>
      <c r="Q144" s="3"/>
      <c r="R144" s="3"/>
      <c r="S144" s="3"/>
      <c r="T144" s="3"/>
      <c r="U144" s="1"/>
      <c r="V144" s="3"/>
      <c r="W144" s="3"/>
      <c r="X144" s="3"/>
      <c r="Y144" s="3"/>
      <c r="Z144" s="3"/>
      <c r="AA144" s="3"/>
      <c r="AB144" s="3"/>
      <c r="AC144" s="3"/>
      <c r="AD144" s="3"/>
      <c r="AE144" s="3"/>
      <c r="AF144" s="3"/>
      <c r="AG144" s="3"/>
      <c r="AH144" s="3"/>
      <c r="AI144" s="3"/>
      <c r="AJ144" s="3"/>
    </row>
    <row r="145" spans="1:36">
      <c r="A145" s="3"/>
      <c r="B145" s="3"/>
      <c r="C145" s="3"/>
      <c r="D145" s="1"/>
      <c r="E145" s="1"/>
      <c r="F145" s="3"/>
      <c r="G145" s="3"/>
      <c r="H145" s="3"/>
      <c r="I145" s="3"/>
      <c r="J145" s="3"/>
      <c r="K145" s="3"/>
      <c r="L145" s="3"/>
      <c r="M145" s="3"/>
      <c r="N145" s="3"/>
      <c r="O145" s="3"/>
      <c r="Q145" s="3"/>
      <c r="R145" s="3"/>
      <c r="S145" s="3"/>
      <c r="T145" s="3"/>
      <c r="U145" s="1"/>
      <c r="V145" s="3"/>
      <c r="W145" s="3"/>
      <c r="X145" s="3"/>
      <c r="Y145" s="3"/>
      <c r="Z145" s="3"/>
      <c r="AA145" s="3"/>
      <c r="AB145" s="3"/>
      <c r="AC145" s="3"/>
      <c r="AD145" s="3"/>
      <c r="AE145" s="3"/>
      <c r="AF145" s="3"/>
      <c r="AG145" s="3"/>
      <c r="AH145" s="3"/>
      <c r="AI145" s="3"/>
      <c r="AJ145" s="3"/>
    </row>
    <row r="146" spans="1:36">
      <c r="A146" s="3"/>
      <c r="B146" s="3"/>
      <c r="C146" s="3"/>
      <c r="D146" s="1"/>
      <c r="E146" s="1"/>
      <c r="F146" s="3"/>
      <c r="G146" s="3"/>
      <c r="H146" s="3"/>
      <c r="I146" s="3"/>
      <c r="J146" s="3"/>
      <c r="K146" s="3"/>
      <c r="L146" s="3"/>
      <c r="M146" s="3"/>
      <c r="N146" s="3"/>
      <c r="O146" s="3"/>
      <c r="Q146" s="3"/>
      <c r="R146" s="3"/>
      <c r="S146" s="3"/>
      <c r="T146" s="3"/>
      <c r="U146" s="1"/>
      <c r="V146" s="3"/>
      <c r="W146" s="3"/>
      <c r="X146" s="3"/>
      <c r="Y146" s="3"/>
      <c r="Z146" s="3"/>
      <c r="AA146" s="3"/>
      <c r="AB146" s="3"/>
      <c r="AC146" s="3"/>
      <c r="AD146" s="3"/>
      <c r="AE146" s="3"/>
      <c r="AF146" s="3"/>
      <c r="AG146" s="3"/>
      <c r="AH146" s="3"/>
      <c r="AI146" s="3"/>
      <c r="AJ146" s="3"/>
    </row>
    <row r="147" spans="1:36">
      <c r="A147" s="3"/>
      <c r="B147" s="3"/>
      <c r="C147" s="3"/>
      <c r="D147" s="1"/>
      <c r="E147" s="1"/>
      <c r="F147" s="3"/>
      <c r="G147" s="3"/>
      <c r="H147" s="3"/>
      <c r="I147" s="3"/>
      <c r="J147" s="3"/>
      <c r="K147" s="3"/>
      <c r="L147" s="3"/>
      <c r="M147" s="3"/>
      <c r="N147" s="3"/>
      <c r="O147" s="3"/>
      <c r="Q147" s="3"/>
      <c r="R147" s="3"/>
      <c r="S147" s="3"/>
      <c r="T147" s="3"/>
      <c r="U147" s="1"/>
      <c r="V147" s="3"/>
      <c r="W147" s="3"/>
      <c r="X147" s="3"/>
      <c r="Y147" s="3"/>
      <c r="Z147" s="3"/>
      <c r="AA147" s="3"/>
      <c r="AB147" s="3"/>
      <c r="AC147" s="3"/>
      <c r="AD147" s="3"/>
      <c r="AE147" s="3"/>
      <c r="AF147" s="3"/>
      <c r="AG147" s="3"/>
      <c r="AH147" s="3"/>
      <c r="AI147" s="3"/>
      <c r="AJ147" s="3"/>
    </row>
    <row r="148" spans="1:36">
      <c r="A148" s="3"/>
      <c r="B148" s="3"/>
      <c r="C148" s="3"/>
      <c r="D148" s="1"/>
      <c r="E148" s="1"/>
      <c r="F148" s="3"/>
      <c r="G148" s="3"/>
      <c r="H148" s="3"/>
      <c r="I148" s="3"/>
      <c r="J148" s="3"/>
      <c r="K148" s="3"/>
      <c r="L148" s="3"/>
      <c r="M148" s="3"/>
      <c r="N148" s="3"/>
      <c r="O148" s="3"/>
      <c r="Q148" s="3"/>
      <c r="R148" s="3"/>
      <c r="S148" s="3"/>
      <c r="T148" s="3"/>
      <c r="U148" s="1"/>
      <c r="V148" s="3"/>
      <c r="W148" s="3"/>
      <c r="X148" s="3"/>
      <c r="Y148" s="3"/>
      <c r="Z148" s="3"/>
      <c r="AA148" s="3"/>
      <c r="AB148" s="3"/>
      <c r="AC148" s="3"/>
      <c r="AD148" s="3"/>
      <c r="AE148" s="3"/>
      <c r="AF148" s="3"/>
      <c r="AG148" s="3"/>
      <c r="AH148" s="3"/>
      <c r="AI148" s="3"/>
      <c r="AJ148" s="3"/>
    </row>
    <row r="149" spans="1:36">
      <c r="A149" s="3"/>
      <c r="B149" s="3"/>
      <c r="C149" s="3"/>
      <c r="D149" s="1"/>
      <c r="E149" s="1"/>
      <c r="F149" s="3"/>
      <c r="G149" s="3"/>
      <c r="H149" s="3"/>
      <c r="I149" s="3"/>
      <c r="J149" s="3"/>
      <c r="K149" s="3"/>
      <c r="L149" s="3"/>
      <c r="M149" s="3"/>
      <c r="N149" s="3"/>
      <c r="O149" s="3"/>
      <c r="Q149" s="3"/>
      <c r="R149" s="3"/>
      <c r="S149" s="3"/>
      <c r="T149" s="3"/>
      <c r="U149" s="1"/>
      <c r="V149" s="3"/>
      <c r="W149" s="3"/>
      <c r="X149" s="3"/>
      <c r="Y149" s="3"/>
      <c r="Z149" s="3"/>
      <c r="AA149" s="3"/>
      <c r="AB149" s="3"/>
      <c r="AC149" s="3"/>
      <c r="AD149" s="3"/>
      <c r="AE149" s="3"/>
      <c r="AF149" s="3"/>
      <c r="AG149" s="3"/>
      <c r="AH149" s="3"/>
      <c r="AI149" s="3"/>
      <c r="AJ149" s="3"/>
    </row>
    <row r="150" spans="1:36">
      <c r="A150" s="3"/>
      <c r="B150" s="3"/>
      <c r="C150" s="3"/>
      <c r="D150" s="1"/>
      <c r="E150" s="1"/>
      <c r="F150" s="3"/>
      <c r="G150" s="3"/>
      <c r="H150" s="3"/>
      <c r="I150" s="3"/>
      <c r="J150" s="3"/>
      <c r="K150" s="3"/>
      <c r="L150" s="3"/>
      <c r="M150" s="3"/>
      <c r="N150" s="3"/>
      <c r="O150" s="3"/>
      <c r="Q150" s="3"/>
      <c r="R150" s="3"/>
      <c r="S150" s="3"/>
      <c r="T150" s="3"/>
      <c r="U150" s="1"/>
      <c r="V150" s="3"/>
      <c r="W150" s="3"/>
      <c r="X150" s="3"/>
      <c r="Y150" s="3"/>
      <c r="Z150" s="3"/>
      <c r="AA150" s="3"/>
      <c r="AB150" s="3"/>
      <c r="AC150" s="3"/>
      <c r="AD150" s="3"/>
      <c r="AE150" s="3"/>
      <c r="AF150" s="3"/>
      <c r="AG150" s="3"/>
      <c r="AH150" s="3"/>
      <c r="AI150" s="3"/>
      <c r="AJ150" s="3"/>
    </row>
    <row r="151" spans="1:36">
      <c r="A151" s="3"/>
      <c r="B151" s="3"/>
      <c r="C151" s="3"/>
      <c r="D151" s="1"/>
      <c r="E151" s="1"/>
      <c r="F151" s="3"/>
      <c r="G151" s="3"/>
      <c r="H151" s="3"/>
      <c r="I151" s="3"/>
      <c r="J151" s="3"/>
      <c r="K151" s="3"/>
      <c r="L151" s="3"/>
      <c r="M151" s="3"/>
      <c r="N151" s="3"/>
      <c r="O151" s="3"/>
      <c r="Q151" s="3"/>
      <c r="R151" s="3"/>
      <c r="S151" s="3"/>
      <c r="T151" s="3"/>
      <c r="U151" s="1"/>
      <c r="V151" s="3"/>
      <c r="W151" s="3"/>
      <c r="X151" s="3"/>
      <c r="Y151" s="3"/>
      <c r="Z151" s="3"/>
      <c r="AA151" s="3"/>
      <c r="AB151" s="3"/>
      <c r="AC151" s="3"/>
      <c r="AD151" s="3"/>
      <c r="AE151" s="3"/>
      <c r="AF151" s="3"/>
      <c r="AG151" s="3"/>
      <c r="AH151" s="3"/>
      <c r="AI151" s="3"/>
      <c r="AJ151" s="3"/>
    </row>
    <row r="152" spans="1:36">
      <c r="A152" s="3"/>
      <c r="B152" s="3"/>
      <c r="C152" s="3"/>
      <c r="D152" s="1"/>
      <c r="E152" s="1"/>
      <c r="F152" s="3"/>
      <c r="G152" s="3"/>
      <c r="H152" s="3"/>
      <c r="I152" s="3"/>
      <c r="J152" s="3"/>
      <c r="K152" s="3"/>
      <c r="L152" s="3"/>
      <c r="M152" s="3"/>
      <c r="N152" s="3"/>
      <c r="O152" s="3"/>
      <c r="Q152" s="3"/>
      <c r="R152" s="3"/>
      <c r="S152" s="3"/>
      <c r="T152" s="3"/>
      <c r="U152" s="1"/>
      <c r="V152" s="3"/>
      <c r="W152" s="3"/>
      <c r="X152" s="3"/>
      <c r="Y152" s="3"/>
      <c r="Z152" s="3"/>
      <c r="AA152" s="3"/>
      <c r="AB152" s="3"/>
      <c r="AC152" s="3"/>
      <c r="AD152" s="3"/>
      <c r="AE152" s="3"/>
      <c r="AF152" s="3"/>
      <c r="AG152" s="3"/>
      <c r="AH152" s="3"/>
      <c r="AI152" s="3"/>
      <c r="AJ152" s="3"/>
    </row>
    <row r="153" spans="1:36">
      <c r="A153" s="3"/>
      <c r="B153" s="3"/>
      <c r="C153" s="3"/>
      <c r="D153" s="1"/>
      <c r="E153" s="1"/>
      <c r="F153" s="3"/>
      <c r="G153" s="3"/>
      <c r="H153" s="3"/>
      <c r="I153" s="3"/>
      <c r="J153" s="3"/>
      <c r="K153" s="3"/>
      <c r="L153" s="3"/>
      <c r="M153" s="3"/>
      <c r="N153" s="3"/>
      <c r="O153" s="3"/>
      <c r="Q153" s="3"/>
      <c r="R153" s="3"/>
      <c r="S153" s="3"/>
      <c r="T153" s="3"/>
      <c r="U153" s="1"/>
      <c r="V153" s="3"/>
      <c r="W153" s="3"/>
      <c r="X153" s="3"/>
      <c r="Y153" s="3"/>
      <c r="Z153" s="3"/>
      <c r="AA153" s="3"/>
      <c r="AB153" s="3"/>
      <c r="AC153" s="3"/>
      <c r="AD153" s="3"/>
      <c r="AE153" s="3"/>
      <c r="AF153" s="3"/>
      <c r="AG153" s="3"/>
      <c r="AH153" s="3"/>
      <c r="AI153" s="3"/>
      <c r="AJ153" s="3"/>
    </row>
    <row r="154" spans="1:36">
      <c r="A154" s="3"/>
      <c r="B154" s="3"/>
      <c r="C154" s="3"/>
      <c r="D154" s="1"/>
      <c r="E154" s="1"/>
      <c r="F154" s="3"/>
      <c r="G154" s="3"/>
      <c r="H154" s="3"/>
      <c r="I154" s="3"/>
      <c r="J154" s="3"/>
      <c r="K154" s="3"/>
      <c r="L154" s="3"/>
      <c r="M154" s="3"/>
      <c r="N154" s="3"/>
      <c r="O154" s="3"/>
      <c r="Q154" s="3"/>
      <c r="R154" s="3"/>
      <c r="S154" s="3"/>
      <c r="T154" s="3"/>
      <c r="U154" s="1"/>
      <c r="V154" s="3"/>
      <c r="W154" s="3"/>
      <c r="X154" s="3"/>
      <c r="Y154" s="3"/>
      <c r="Z154" s="3"/>
      <c r="AA154" s="3"/>
      <c r="AB154" s="3"/>
      <c r="AC154" s="3"/>
      <c r="AD154" s="3"/>
      <c r="AE154" s="3"/>
      <c r="AF154" s="3"/>
      <c r="AG154" s="3"/>
      <c r="AH154" s="3"/>
      <c r="AI154" s="3"/>
      <c r="AJ154" s="3"/>
    </row>
    <row r="155" spans="1:36">
      <c r="A155" s="3"/>
      <c r="B155" s="3"/>
      <c r="C155" s="3"/>
      <c r="D155" s="1"/>
      <c r="E155" s="1"/>
      <c r="F155" s="3"/>
      <c r="G155" s="3"/>
      <c r="H155" s="3"/>
      <c r="I155" s="3"/>
      <c r="J155" s="3"/>
      <c r="K155" s="3"/>
      <c r="L155" s="3"/>
      <c r="M155" s="3"/>
      <c r="N155" s="3"/>
      <c r="O155" s="3"/>
      <c r="Q155" s="3"/>
      <c r="R155" s="3"/>
      <c r="S155" s="3"/>
      <c r="T155" s="3"/>
      <c r="U155" s="1"/>
      <c r="V155" s="3"/>
      <c r="W155" s="3"/>
      <c r="X155" s="3"/>
      <c r="Y155" s="3"/>
      <c r="Z155" s="3"/>
      <c r="AA155" s="3"/>
      <c r="AB155" s="3"/>
      <c r="AC155" s="3"/>
      <c r="AD155" s="3"/>
      <c r="AE155" s="3"/>
      <c r="AF155" s="3"/>
      <c r="AG155" s="3"/>
      <c r="AH155" s="3"/>
      <c r="AI155" s="3"/>
      <c r="AJ155" s="3"/>
    </row>
    <row r="156" spans="1:36">
      <c r="A156" s="3"/>
      <c r="B156" s="3"/>
      <c r="C156" s="3"/>
      <c r="D156" s="1"/>
      <c r="E156" s="1"/>
      <c r="F156" s="3"/>
      <c r="G156" s="3"/>
      <c r="H156" s="3"/>
      <c r="I156" s="3"/>
      <c r="J156" s="3"/>
      <c r="K156" s="3"/>
      <c r="L156" s="3"/>
      <c r="M156" s="3"/>
      <c r="N156" s="3"/>
      <c r="O156" s="3"/>
      <c r="Q156" s="3"/>
      <c r="R156" s="3"/>
      <c r="S156" s="3"/>
      <c r="T156" s="3"/>
      <c r="U156" s="1"/>
      <c r="V156" s="3"/>
      <c r="W156" s="3"/>
      <c r="X156" s="3"/>
      <c r="Y156" s="3"/>
      <c r="Z156" s="3"/>
      <c r="AA156" s="3"/>
      <c r="AB156" s="3"/>
      <c r="AC156" s="3"/>
      <c r="AD156" s="3"/>
      <c r="AE156" s="3"/>
      <c r="AF156" s="3"/>
      <c r="AG156" s="3"/>
      <c r="AH156" s="3"/>
      <c r="AI156" s="3"/>
      <c r="AJ156" s="3"/>
    </row>
    <row r="157" spans="1:36">
      <c r="A157" s="3"/>
      <c r="B157" s="3"/>
      <c r="C157" s="3"/>
      <c r="D157" s="1"/>
      <c r="E157" s="1"/>
      <c r="F157" s="3"/>
      <c r="G157" s="3"/>
      <c r="H157" s="3"/>
      <c r="I157" s="3"/>
      <c r="J157" s="3"/>
      <c r="K157" s="3"/>
      <c r="L157" s="3"/>
      <c r="M157" s="3"/>
      <c r="N157" s="3"/>
      <c r="O157" s="3"/>
      <c r="Q157" s="3"/>
      <c r="R157" s="3"/>
      <c r="S157" s="3"/>
      <c r="T157" s="3"/>
      <c r="U157" s="1"/>
      <c r="V157" s="3"/>
      <c r="W157" s="3"/>
      <c r="X157" s="3"/>
      <c r="Y157" s="3"/>
      <c r="Z157" s="3"/>
      <c r="AA157" s="3"/>
      <c r="AB157" s="3"/>
      <c r="AC157" s="3"/>
      <c r="AD157" s="3"/>
      <c r="AE157" s="3"/>
      <c r="AF157" s="3"/>
      <c r="AG157" s="3"/>
      <c r="AH157" s="3"/>
      <c r="AI157" s="3"/>
      <c r="AJ157" s="3"/>
    </row>
    <row r="158" spans="1:36">
      <c r="A158" s="3"/>
      <c r="B158" s="3"/>
      <c r="C158" s="3"/>
      <c r="D158" s="1"/>
      <c r="E158" s="1"/>
      <c r="F158" s="3"/>
      <c r="G158" s="3"/>
      <c r="H158" s="3"/>
      <c r="I158" s="3"/>
      <c r="J158" s="3"/>
      <c r="K158" s="3"/>
      <c r="L158" s="3"/>
      <c r="M158" s="3"/>
      <c r="N158" s="3"/>
      <c r="O158" s="3"/>
      <c r="Q158" s="3"/>
      <c r="R158" s="3"/>
      <c r="S158" s="3"/>
      <c r="T158" s="3"/>
      <c r="U158" s="1"/>
      <c r="V158" s="3"/>
      <c r="W158" s="3"/>
      <c r="X158" s="3"/>
      <c r="Y158" s="3"/>
      <c r="Z158" s="3"/>
      <c r="AA158" s="3"/>
      <c r="AB158" s="3"/>
      <c r="AC158" s="3"/>
      <c r="AD158" s="3"/>
      <c r="AE158" s="3"/>
      <c r="AF158" s="3"/>
      <c r="AG158" s="3"/>
      <c r="AH158" s="3"/>
      <c r="AI158" s="3"/>
      <c r="AJ158" s="3"/>
    </row>
    <row r="159" spans="1:36">
      <c r="A159" s="3"/>
      <c r="B159" s="3"/>
      <c r="C159" s="3"/>
      <c r="D159" s="1"/>
      <c r="E159" s="1"/>
      <c r="F159" s="3"/>
      <c r="G159" s="3"/>
      <c r="H159" s="3"/>
      <c r="I159" s="3"/>
      <c r="J159" s="3"/>
      <c r="K159" s="3"/>
      <c r="L159" s="3"/>
      <c r="M159" s="3"/>
      <c r="N159" s="3"/>
      <c r="O159" s="3"/>
      <c r="Q159" s="3"/>
      <c r="R159" s="3"/>
      <c r="S159" s="3"/>
      <c r="T159" s="3"/>
      <c r="U159" s="1"/>
      <c r="V159" s="3"/>
      <c r="W159" s="3"/>
      <c r="X159" s="3"/>
      <c r="Y159" s="3"/>
      <c r="Z159" s="3"/>
      <c r="AA159" s="3"/>
      <c r="AB159" s="3"/>
      <c r="AC159" s="3"/>
      <c r="AD159" s="3"/>
      <c r="AE159" s="3"/>
      <c r="AF159" s="3"/>
      <c r="AG159" s="3"/>
      <c r="AH159" s="3"/>
      <c r="AI159" s="3"/>
      <c r="AJ159" s="3"/>
    </row>
    <row r="160" spans="1:36">
      <c r="A160" s="3"/>
      <c r="B160" s="3"/>
      <c r="C160" s="3"/>
      <c r="D160" s="1"/>
      <c r="E160" s="1"/>
      <c r="F160" s="3"/>
      <c r="G160" s="3"/>
      <c r="H160" s="3"/>
      <c r="I160" s="3"/>
      <c r="J160" s="3"/>
      <c r="K160" s="3"/>
      <c r="L160" s="3"/>
      <c r="M160" s="3"/>
      <c r="N160" s="3"/>
      <c r="O160" s="3"/>
      <c r="Q160" s="3"/>
      <c r="R160" s="3"/>
      <c r="S160" s="3"/>
      <c r="T160" s="3"/>
      <c r="U160" s="1"/>
      <c r="V160" s="3"/>
      <c r="W160" s="3"/>
      <c r="X160" s="3"/>
      <c r="Y160" s="3"/>
      <c r="Z160" s="3"/>
      <c r="AA160" s="3"/>
      <c r="AB160" s="3"/>
      <c r="AC160" s="3"/>
      <c r="AD160" s="3"/>
      <c r="AE160" s="3"/>
      <c r="AF160" s="3"/>
      <c r="AG160" s="3"/>
      <c r="AH160" s="3"/>
      <c r="AI160" s="3"/>
      <c r="AJ160" s="3"/>
    </row>
    <row r="161" spans="1:36">
      <c r="A161" s="3"/>
      <c r="B161" s="3"/>
      <c r="C161" s="3"/>
      <c r="D161" s="1"/>
      <c r="E161" s="1"/>
      <c r="F161" s="3"/>
      <c r="G161" s="3"/>
      <c r="H161" s="3"/>
      <c r="I161" s="3"/>
      <c r="J161" s="3"/>
      <c r="K161" s="3"/>
      <c r="L161" s="3"/>
      <c r="M161" s="3"/>
      <c r="N161" s="3"/>
      <c r="O161" s="3"/>
      <c r="Q161" s="3"/>
      <c r="R161" s="3"/>
      <c r="S161" s="3"/>
      <c r="T161" s="3"/>
      <c r="U161" s="1"/>
      <c r="V161" s="3"/>
      <c r="W161" s="3"/>
      <c r="X161" s="3"/>
      <c r="Y161" s="3"/>
      <c r="Z161" s="3"/>
      <c r="AA161" s="3"/>
      <c r="AB161" s="3"/>
      <c r="AC161" s="3"/>
      <c r="AD161" s="3"/>
      <c r="AE161" s="3"/>
      <c r="AF161" s="3"/>
      <c r="AG161" s="3"/>
      <c r="AH161" s="3"/>
      <c r="AI161" s="3"/>
      <c r="AJ161" s="3"/>
    </row>
    <row r="162" spans="1:36">
      <c r="A162" s="3"/>
      <c r="B162" s="3"/>
      <c r="C162" s="3"/>
      <c r="D162" s="1"/>
      <c r="E162" s="1"/>
      <c r="F162" s="3"/>
      <c r="G162" s="3"/>
      <c r="H162" s="3"/>
      <c r="I162" s="3"/>
      <c r="J162" s="3"/>
      <c r="K162" s="3"/>
      <c r="L162" s="3"/>
      <c r="M162" s="3"/>
      <c r="N162" s="3"/>
      <c r="O162" s="3"/>
      <c r="Q162" s="3"/>
      <c r="R162" s="3"/>
      <c r="S162" s="3"/>
      <c r="T162" s="3"/>
      <c r="U162" s="1"/>
      <c r="V162" s="3"/>
      <c r="W162" s="3"/>
      <c r="X162" s="3"/>
      <c r="Y162" s="3"/>
      <c r="Z162" s="3"/>
      <c r="AA162" s="3"/>
      <c r="AB162" s="3"/>
      <c r="AC162" s="3"/>
      <c r="AD162" s="3"/>
      <c r="AE162" s="3"/>
      <c r="AF162" s="3"/>
      <c r="AG162" s="3"/>
      <c r="AH162" s="3"/>
      <c r="AI162" s="3"/>
      <c r="AJ162" s="3"/>
    </row>
    <row r="163" spans="1:36">
      <c r="A163" s="3"/>
      <c r="B163" s="3"/>
      <c r="C163" s="3"/>
      <c r="D163" s="1"/>
      <c r="E163" s="1"/>
      <c r="F163" s="3"/>
      <c r="G163" s="3"/>
      <c r="H163" s="3"/>
      <c r="I163" s="3"/>
      <c r="J163" s="3"/>
      <c r="K163" s="3"/>
      <c r="L163" s="3"/>
      <c r="M163" s="3"/>
      <c r="N163" s="3"/>
      <c r="O163" s="3"/>
      <c r="Q163" s="3"/>
      <c r="R163" s="3"/>
      <c r="S163" s="3"/>
      <c r="T163" s="3"/>
      <c r="U163" s="1"/>
      <c r="V163" s="3"/>
      <c r="W163" s="3"/>
      <c r="X163" s="3"/>
      <c r="Y163" s="3"/>
      <c r="Z163" s="3"/>
      <c r="AA163" s="3"/>
      <c r="AB163" s="3"/>
      <c r="AC163" s="3"/>
      <c r="AD163" s="3"/>
      <c r="AE163" s="3"/>
      <c r="AF163" s="3"/>
      <c r="AG163" s="3"/>
      <c r="AH163" s="3"/>
      <c r="AI163" s="3"/>
      <c r="AJ163" s="3"/>
    </row>
    <row r="164" spans="1:36">
      <c r="A164" s="3"/>
      <c r="B164" s="3"/>
      <c r="C164" s="3"/>
      <c r="D164" s="1"/>
      <c r="E164" s="1"/>
      <c r="F164" s="3"/>
      <c r="G164" s="3"/>
      <c r="H164" s="3"/>
      <c r="I164" s="3"/>
      <c r="J164" s="3"/>
      <c r="K164" s="3"/>
      <c r="L164" s="3"/>
      <c r="M164" s="3"/>
      <c r="N164" s="3"/>
      <c r="O164" s="3"/>
      <c r="Q164" s="3"/>
      <c r="R164" s="3"/>
      <c r="S164" s="3"/>
      <c r="T164" s="3"/>
      <c r="U164" s="1"/>
      <c r="V164" s="3"/>
      <c r="W164" s="3"/>
      <c r="X164" s="3"/>
      <c r="Y164" s="3"/>
      <c r="Z164" s="3"/>
      <c r="AA164" s="3"/>
      <c r="AB164" s="3"/>
      <c r="AC164" s="3"/>
      <c r="AD164" s="3"/>
      <c r="AE164" s="3"/>
      <c r="AF164" s="3"/>
      <c r="AG164" s="3"/>
      <c r="AH164" s="3"/>
      <c r="AI164" s="3"/>
      <c r="AJ164" s="3"/>
    </row>
    <row r="165" spans="1:36">
      <c r="A165" s="3"/>
      <c r="B165" s="3"/>
      <c r="C165" s="3"/>
      <c r="D165" s="1"/>
      <c r="E165" s="1"/>
      <c r="F165" s="3"/>
      <c r="G165" s="3"/>
      <c r="H165" s="3"/>
      <c r="I165" s="3"/>
      <c r="J165" s="3"/>
      <c r="K165" s="3"/>
      <c r="L165" s="3"/>
      <c r="M165" s="3"/>
      <c r="N165" s="3"/>
      <c r="O165" s="3"/>
      <c r="Q165" s="3"/>
      <c r="R165" s="3"/>
      <c r="S165" s="3"/>
      <c r="T165" s="3"/>
      <c r="U165" s="1"/>
      <c r="V165" s="3"/>
      <c r="W165" s="3"/>
      <c r="X165" s="3"/>
      <c r="Y165" s="3"/>
      <c r="Z165" s="3"/>
      <c r="AA165" s="3"/>
      <c r="AB165" s="3"/>
      <c r="AC165" s="3"/>
      <c r="AD165" s="3"/>
      <c r="AE165" s="3"/>
      <c r="AF165" s="3"/>
      <c r="AG165" s="3"/>
      <c r="AH165" s="3"/>
      <c r="AI165" s="3"/>
      <c r="AJ165" s="3"/>
    </row>
    <row r="166" spans="1:36">
      <c r="A166" s="3"/>
      <c r="B166" s="3"/>
      <c r="C166" s="3"/>
      <c r="D166" s="1"/>
      <c r="E166" s="1"/>
      <c r="F166" s="3"/>
      <c r="G166" s="3"/>
      <c r="H166" s="3"/>
      <c r="I166" s="3"/>
      <c r="J166" s="3"/>
      <c r="K166" s="3"/>
      <c r="L166" s="3"/>
      <c r="M166" s="3"/>
      <c r="N166" s="3"/>
      <c r="O166" s="3"/>
      <c r="Q166" s="3"/>
      <c r="R166" s="3"/>
      <c r="S166" s="3"/>
      <c r="T166" s="3"/>
      <c r="U166" s="1"/>
      <c r="V166" s="3"/>
      <c r="W166" s="3"/>
      <c r="X166" s="3"/>
      <c r="Y166" s="3"/>
      <c r="Z166" s="3"/>
      <c r="AA166" s="3"/>
      <c r="AB166" s="3"/>
      <c r="AC166" s="3"/>
      <c r="AD166" s="3"/>
      <c r="AE166" s="3"/>
      <c r="AF166" s="3"/>
      <c r="AG166" s="3"/>
      <c r="AH166" s="3"/>
      <c r="AI166" s="3"/>
      <c r="AJ166" s="3"/>
    </row>
    <row r="167" spans="1:36">
      <c r="A167" s="3"/>
      <c r="B167" s="3"/>
      <c r="C167" s="3"/>
      <c r="D167" s="1"/>
      <c r="E167" s="1"/>
      <c r="F167" s="3"/>
      <c r="G167" s="3"/>
      <c r="H167" s="3"/>
      <c r="I167" s="3"/>
      <c r="J167" s="3"/>
      <c r="K167" s="3"/>
      <c r="L167" s="3"/>
      <c r="M167" s="3"/>
      <c r="N167" s="3"/>
      <c r="O167" s="3"/>
      <c r="Q167" s="3"/>
      <c r="R167" s="3"/>
      <c r="S167" s="3"/>
      <c r="T167" s="3"/>
      <c r="U167" s="1"/>
      <c r="V167" s="3"/>
      <c r="W167" s="3"/>
      <c r="X167" s="3"/>
      <c r="Y167" s="3"/>
      <c r="Z167" s="3"/>
      <c r="AA167" s="3"/>
      <c r="AB167" s="3"/>
      <c r="AC167" s="3"/>
      <c r="AD167" s="3"/>
      <c r="AE167" s="3"/>
      <c r="AF167" s="3"/>
      <c r="AG167" s="3"/>
      <c r="AH167" s="3"/>
      <c r="AI167" s="3"/>
      <c r="AJ167" s="3"/>
    </row>
    <row r="168" spans="1:36">
      <c r="A168" s="3"/>
      <c r="B168" s="3"/>
      <c r="C168" s="3"/>
      <c r="D168" s="1"/>
      <c r="E168" s="1"/>
      <c r="F168" s="3"/>
      <c r="G168" s="3"/>
      <c r="H168" s="3"/>
      <c r="I168" s="3"/>
      <c r="J168" s="3"/>
      <c r="K168" s="3"/>
      <c r="L168" s="3"/>
      <c r="M168" s="3"/>
      <c r="N168" s="3"/>
      <c r="O168" s="3"/>
      <c r="Q168" s="3"/>
      <c r="R168" s="3"/>
      <c r="S168" s="3"/>
      <c r="T168" s="3"/>
      <c r="U168" s="1"/>
      <c r="V168" s="3"/>
      <c r="W168" s="3"/>
      <c r="X168" s="3"/>
      <c r="Y168" s="3"/>
      <c r="Z168" s="3"/>
      <c r="AA168" s="3"/>
      <c r="AB168" s="3"/>
      <c r="AC168" s="3"/>
      <c r="AD168" s="3"/>
      <c r="AE168" s="3"/>
      <c r="AF168" s="3"/>
      <c r="AG168" s="3"/>
      <c r="AH168" s="3"/>
      <c r="AI168" s="3"/>
      <c r="AJ168" s="3"/>
    </row>
    <row r="169" spans="1:36">
      <c r="A169" s="3"/>
      <c r="B169" s="3"/>
      <c r="C169" s="3"/>
      <c r="D169" s="1"/>
      <c r="E169" s="1"/>
      <c r="F169" s="3"/>
      <c r="G169" s="3"/>
      <c r="H169" s="3"/>
      <c r="I169" s="3"/>
      <c r="J169" s="3"/>
      <c r="K169" s="3"/>
      <c r="L169" s="3"/>
      <c r="M169" s="3"/>
      <c r="N169" s="3"/>
      <c r="O169" s="3"/>
      <c r="Q169" s="3"/>
      <c r="R169" s="3"/>
      <c r="S169" s="3"/>
      <c r="T169" s="3"/>
      <c r="U169" s="1"/>
      <c r="V169" s="3"/>
      <c r="W169" s="3"/>
      <c r="X169" s="3"/>
      <c r="Y169" s="3"/>
      <c r="Z169" s="3"/>
      <c r="AA169" s="3"/>
      <c r="AB169" s="3"/>
      <c r="AC169" s="3"/>
      <c r="AD169" s="3"/>
      <c r="AE169" s="3"/>
      <c r="AF169" s="3"/>
      <c r="AG169" s="3"/>
      <c r="AH169" s="3"/>
      <c r="AI169" s="3"/>
      <c r="AJ169" s="3"/>
    </row>
    <row r="170" spans="1:36">
      <c r="A170" s="3"/>
      <c r="B170" s="3"/>
      <c r="C170" s="3"/>
      <c r="D170" s="1"/>
      <c r="E170" s="1"/>
      <c r="F170" s="3"/>
      <c r="G170" s="3"/>
      <c r="H170" s="3"/>
      <c r="I170" s="3"/>
      <c r="J170" s="3"/>
      <c r="K170" s="3"/>
      <c r="L170" s="3"/>
      <c r="M170" s="3"/>
      <c r="N170" s="3"/>
      <c r="O170" s="3"/>
      <c r="Q170" s="3"/>
      <c r="R170" s="3"/>
      <c r="S170" s="3"/>
      <c r="T170" s="3"/>
      <c r="U170" s="1"/>
      <c r="V170" s="3"/>
      <c r="W170" s="3"/>
      <c r="X170" s="3"/>
      <c r="Y170" s="3"/>
      <c r="Z170" s="3"/>
      <c r="AA170" s="3"/>
      <c r="AB170" s="3"/>
      <c r="AC170" s="3"/>
      <c r="AD170" s="3"/>
      <c r="AE170" s="3"/>
      <c r="AF170" s="3"/>
      <c r="AG170" s="3"/>
      <c r="AH170" s="3"/>
      <c r="AI170" s="3"/>
      <c r="AJ170" s="3"/>
    </row>
    <row r="171" spans="1:36">
      <c r="A171" s="3"/>
      <c r="B171" s="3"/>
      <c r="C171" s="3"/>
      <c r="D171" s="1"/>
      <c r="E171" s="1"/>
      <c r="F171" s="3"/>
      <c r="G171" s="3"/>
      <c r="H171" s="3"/>
      <c r="I171" s="3"/>
      <c r="J171" s="3"/>
      <c r="K171" s="3"/>
      <c r="L171" s="3"/>
      <c r="M171" s="3"/>
      <c r="N171" s="3"/>
      <c r="O171" s="3"/>
      <c r="Q171" s="3"/>
      <c r="R171" s="3"/>
      <c r="S171" s="3"/>
      <c r="T171" s="3"/>
      <c r="U171" s="1"/>
      <c r="V171" s="3"/>
      <c r="W171" s="3"/>
      <c r="X171" s="3"/>
      <c r="Y171" s="3"/>
      <c r="Z171" s="3"/>
      <c r="AA171" s="3"/>
      <c r="AB171" s="3"/>
      <c r="AC171" s="3"/>
      <c r="AD171" s="3"/>
      <c r="AE171" s="3"/>
      <c r="AF171" s="3"/>
      <c r="AG171" s="3"/>
      <c r="AH171" s="3"/>
      <c r="AI171" s="3"/>
      <c r="AJ171" s="3"/>
    </row>
    <row r="172" spans="1:36">
      <c r="A172" s="3"/>
      <c r="B172" s="3"/>
      <c r="C172" s="3"/>
      <c r="D172" s="1"/>
      <c r="E172" s="1"/>
      <c r="F172" s="3"/>
      <c r="G172" s="3"/>
      <c r="H172" s="3"/>
      <c r="I172" s="3"/>
      <c r="J172" s="3"/>
      <c r="K172" s="3"/>
      <c r="L172" s="3"/>
      <c r="M172" s="3"/>
      <c r="N172" s="3"/>
      <c r="O172" s="3"/>
      <c r="Q172" s="3"/>
      <c r="R172" s="3"/>
      <c r="S172" s="3"/>
      <c r="T172" s="3"/>
      <c r="U172" s="1"/>
      <c r="V172" s="3"/>
      <c r="W172" s="3"/>
      <c r="X172" s="3"/>
      <c r="Y172" s="3"/>
      <c r="Z172" s="3"/>
      <c r="AA172" s="3"/>
      <c r="AB172" s="3"/>
      <c r="AC172" s="3"/>
      <c r="AD172" s="3"/>
      <c r="AE172" s="3"/>
      <c r="AF172" s="3"/>
      <c r="AG172" s="3"/>
      <c r="AH172" s="3"/>
      <c r="AI172" s="3"/>
      <c r="AJ172" s="3"/>
    </row>
    <row r="173" spans="1:36">
      <c r="A173" s="3"/>
      <c r="B173" s="3"/>
      <c r="C173" s="3"/>
      <c r="D173" s="1"/>
      <c r="E173" s="1"/>
      <c r="F173" s="3"/>
      <c r="G173" s="3"/>
      <c r="H173" s="3"/>
      <c r="I173" s="3"/>
      <c r="J173" s="3"/>
      <c r="K173" s="3"/>
      <c r="L173" s="3"/>
      <c r="M173" s="3"/>
      <c r="N173" s="3"/>
      <c r="O173" s="3"/>
      <c r="Q173" s="3"/>
      <c r="R173" s="3"/>
      <c r="S173" s="3"/>
      <c r="T173" s="3"/>
      <c r="U173" s="1"/>
      <c r="V173" s="3"/>
      <c r="W173" s="3"/>
      <c r="X173" s="3"/>
      <c r="Y173" s="3"/>
      <c r="Z173" s="3"/>
      <c r="AA173" s="3"/>
      <c r="AB173" s="3"/>
      <c r="AC173" s="3"/>
      <c r="AD173" s="3"/>
      <c r="AE173" s="3"/>
      <c r="AF173" s="3"/>
      <c r="AG173" s="3"/>
      <c r="AH173" s="3"/>
      <c r="AI173" s="3"/>
      <c r="AJ173" s="3"/>
    </row>
    <row r="174" spans="1:36">
      <c r="A174" s="3"/>
      <c r="B174" s="3"/>
      <c r="C174" s="3"/>
      <c r="D174" s="1"/>
      <c r="E174" s="1"/>
      <c r="F174" s="3"/>
      <c r="G174" s="3"/>
      <c r="H174" s="3"/>
      <c r="I174" s="3"/>
      <c r="J174" s="3"/>
      <c r="K174" s="3"/>
      <c r="L174" s="3"/>
      <c r="M174" s="3"/>
      <c r="N174" s="3"/>
      <c r="O174" s="3"/>
      <c r="Q174" s="3"/>
      <c r="R174" s="3"/>
      <c r="S174" s="3"/>
      <c r="T174" s="3"/>
      <c r="U174" s="1"/>
      <c r="V174" s="3"/>
      <c r="W174" s="3"/>
      <c r="X174" s="3"/>
      <c r="Y174" s="3"/>
      <c r="Z174" s="3"/>
      <c r="AA174" s="3"/>
      <c r="AB174" s="3"/>
      <c r="AC174" s="3"/>
      <c r="AD174" s="3"/>
      <c r="AE174" s="3"/>
      <c r="AF174" s="3"/>
      <c r="AG174" s="3"/>
      <c r="AH174" s="3"/>
      <c r="AI174" s="3"/>
      <c r="AJ174" s="3"/>
    </row>
    <row r="175" spans="1:36">
      <c r="A175" s="3"/>
      <c r="B175" s="3"/>
      <c r="C175" s="3"/>
      <c r="D175" s="1"/>
      <c r="E175" s="1"/>
      <c r="F175" s="3"/>
      <c r="G175" s="3"/>
      <c r="H175" s="3"/>
      <c r="I175" s="3"/>
      <c r="J175" s="3"/>
      <c r="K175" s="3"/>
      <c r="L175" s="3"/>
      <c r="M175" s="3"/>
      <c r="N175" s="3"/>
      <c r="O175" s="3"/>
      <c r="Q175" s="3"/>
      <c r="R175" s="3"/>
      <c r="S175" s="3"/>
      <c r="T175" s="3"/>
      <c r="U175" s="1"/>
      <c r="V175" s="3"/>
      <c r="W175" s="3"/>
      <c r="X175" s="3"/>
      <c r="Y175" s="3"/>
      <c r="Z175" s="3"/>
      <c r="AA175" s="3"/>
      <c r="AB175" s="3"/>
      <c r="AC175" s="3"/>
      <c r="AD175" s="3"/>
      <c r="AE175" s="3"/>
      <c r="AF175" s="3"/>
      <c r="AG175" s="3"/>
      <c r="AH175" s="3"/>
      <c r="AI175" s="3"/>
      <c r="AJ175" s="3"/>
    </row>
    <row r="176" spans="1:36">
      <c r="A176" s="3"/>
      <c r="B176" s="3"/>
      <c r="C176" s="3"/>
      <c r="D176" s="1"/>
      <c r="E176" s="1"/>
      <c r="F176" s="3"/>
      <c r="G176" s="3"/>
      <c r="H176" s="3"/>
      <c r="I176" s="3"/>
      <c r="J176" s="3"/>
      <c r="K176" s="3"/>
      <c r="L176" s="3"/>
      <c r="M176" s="3"/>
      <c r="N176" s="3"/>
      <c r="O176" s="3"/>
      <c r="Q176" s="3"/>
      <c r="R176" s="3"/>
      <c r="S176" s="3"/>
      <c r="T176" s="3"/>
      <c r="U176" s="1"/>
      <c r="V176" s="3"/>
      <c r="W176" s="3"/>
      <c r="X176" s="3"/>
      <c r="Y176" s="3"/>
      <c r="Z176" s="3"/>
      <c r="AA176" s="3"/>
      <c r="AB176" s="3"/>
      <c r="AC176" s="3"/>
      <c r="AD176" s="3"/>
      <c r="AE176" s="3"/>
      <c r="AF176" s="3"/>
      <c r="AG176" s="3"/>
      <c r="AH176" s="3"/>
      <c r="AI176" s="3"/>
      <c r="AJ176" s="3"/>
    </row>
    <row r="177" spans="1:36">
      <c r="A177" s="3"/>
      <c r="B177" s="3"/>
      <c r="C177" s="3"/>
      <c r="D177" s="1"/>
      <c r="E177" s="1"/>
      <c r="F177" s="3"/>
      <c r="G177" s="3"/>
      <c r="H177" s="3"/>
      <c r="I177" s="3"/>
      <c r="J177" s="3"/>
      <c r="K177" s="3"/>
      <c r="L177" s="3"/>
      <c r="M177" s="3"/>
      <c r="N177" s="3"/>
      <c r="O177" s="3"/>
      <c r="Q177" s="3"/>
      <c r="R177" s="3"/>
      <c r="S177" s="3"/>
      <c r="T177" s="3"/>
      <c r="U177" s="1"/>
      <c r="V177" s="3"/>
      <c r="W177" s="3"/>
      <c r="X177" s="3"/>
      <c r="Y177" s="3"/>
      <c r="Z177" s="3"/>
      <c r="AA177" s="3"/>
      <c r="AB177" s="3"/>
      <c r="AC177" s="3"/>
      <c r="AD177" s="3"/>
      <c r="AE177" s="3"/>
      <c r="AF177" s="3"/>
      <c r="AG177" s="3"/>
      <c r="AH177" s="3"/>
      <c r="AI177" s="3"/>
      <c r="AJ177" s="3"/>
    </row>
    <row r="178" spans="1:36">
      <c r="A178" s="3"/>
      <c r="B178" s="3"/>
      <c r="C178" s="3"/>
      <c r="D178" s="1"/>
      <c r="E178" s="1"/>
      <c r="F178" s="3"/>
      <c r="G178" s="3"/>
      <c r="H178" s="3"/>
      <c r="I178" s="3"/>
      <c r="J178" s="3"/>
      <c r="K178" s="3"/>
      <c r="L178" s="3"/>
      <c r="M178" s="3"/>
      <c r="N178" s="3"/>
      <c r="O178" s="3"/>
      <c r="Q178" s="3"/>
      <c r="R178" s="3"/>
      <c r="S178" s="3"/>
      <c r="T178" s="3"/>
      <c r="U178" s="1"/>
      <c r="V178" s="3"/>
      <c r="W178" s="3"/>
      <c r="X178" s="3"/>
      <c r="Y178" s="3"/>
      <c r="Z178" s="3"/>
      <c r="AA178" s="3"/>
      <c r="AB178" s="3"/>
      <c r="AC178" s="3"/>
      <c r="AD178" s="3"/>
      <c r="AE178" s="3"/>
      <c r="AF178" s="3"/>
      <c r="AG178" s="3"/>
      <c r="AH178" s="3"/>
      <c r="AI178" s="3"/>
      <c r="AJ178" s="3"/>
    </row>
    <row r="179" spans="1:36">
      <c r="A179" s="3"/>
      <c r="B179" s="3"/>
      <c r="C179" s="3"/>
      <c r="D179" s="1"/>
      <c r="E179" s="1"/>
      <c r="F179" s="3"/>
      <c r="G179" s="3"/>
      <c r="H179" s="3"/>
      <c r="I179" s="3"/>
      <c r="J179" s="3"/>
      <c r="K179" s="3"/>
      <c r="L179" s="3"/>
      <c r="M179" s="3"/>
      <c r="N179" s="3"/>
      <c r="O179" s="3"/>
      <c r="Q179" s="3"/>
      <c r="R179" s="3"/>
      <c r="S179" s="3"/>
      <c r="T179" s="3"/>
      <c r="U179" s="1"/>
      <c r="V179" s="3"/>
      <c r="W179" s="3"/>
      <c r="X179" s="3"/>
      <c r="Y179" s="3"/>
      <c r="Z179" s="3"/>
      <c r="AA179" s="3"/>
      <c r="AB179" s="3"/>
      <c r="AC179" s="3"/>
      <c r="AD179" s="3"/>
      <c r="AE179" s="3"/>
      <c r="AF179" s="3"/>
      <c r="AG179" s="3"/>
      <c r="AH179" s="3"/>
      <c r="AI179" s="3"/>
      <c r="AJ179" s="3"/>
    </row>
    <row r="180" spans="1:36">
      <c r="A180" s="3"/>
      <c r="B180" s="3"/>
      <c r="C180" s="3"/>
      <c r="D180" s="1"/>
      <c r="E180" s="1"/>
      <c r="F180" s="3"/>
      <c r="G180" s="3"/>
      <c r="H180" s="3"/>
      <c r="I180" s="3"/>
      <c r="J180" s="3"/>
      <c r="K180" s="3"/>
      <c r="L180" s="3"/>
      <c r="M180" s="3"/>
      <c r="N180" s="3"/>
      <c r="O180" s="3"/>
      <c r="Q180" s="3"/>
      <c r="R180" s="3"/>
      <c r="S180" s="3"/>
      <c r="T180" s="3"/>
      <c r="U180" s="1"/>
      <c r="V180" s="3"/>
      <c r="W180" s="3"/>
      <c r="X180" s="3"/>
      <c r="Y180" s="3"/>
      <c r="Z180" s="3"/>
      <c r="AA180" s="3"/>
      <c r="AB180" s="3"/>
      <c r="AC180" s="3"/>
      <c r="AD180" s="3"/>
      <c r="AE180" s="3"/>
      <c r="AF180" s="3"/>
      <c r="AG180" s="3"/>
      <c r="AH180" s="3"/>
      <c r="AI180" s="3"/>
      <c r="AJ180" s="3"/>
    </row>
    <row r="181" spans="1:36">
      <c r="A181" s="3"/>
      <c r="B181" s="3"/>
      <c r="C181" s="3"/>
      <c r="D181" s="1"/>
      <c r="E181" s="1"/>
      <c r="F181" s="3"/>
      <c r="G181" s="3"/>
      <c r="H181" s="3"/>
      <c r="I181" s="3"/>
      <c r="J181" s="3"/>
      <c r="K181" s="3"/>
      <c r="L181" s="3"/>
      <c r="M181" s="3"/>
      <c r="N181" s="3"/>
      <c r="O181" s="3"/>
      <c r="Q181" s="3"/>
      <c r="R181" s="3"/>
      <c r="S181" s="3"/>
      <c r="T181" s="3"/>
      <c r="U181" s="1"/>
      <c r="V181" s="3"/>
      <c r="W181" s="3"/>
      <c r="X181" s="3"/>
      <c r="Y181" s="3"/>
      <c r="Z181" s="3"/>
      <c r="AA181" s="3"/>
      <c r="AB181" s="3"/>
      <c r="AC181" s="3"/>
      <c r="AD181" s="3"/>
      <c r="AE181" s="3"/>
      <c r="AF181" s="3"/>
      <c r="AG181" s="3"/>
      <c r="AH181" s="3"/>
      <c r="AI181" s="3"/>
      <c r="AJ181" s="3"/>
    </row>
    <row r="182" spans="1:36">
      <c r="A182" s="3"/>
      <c r="B182" s="3"/>
      <c r="C182" s="3"/>
      <c r="D182" s="1"/>
      <c r="E182" s="1"/>
      <c r="F182" s="3"/>
      <c r="G182" s="3"/>
      <c r="H182" s="3"/>
      <c r="I182" s="3"/>
      <c r="J182" s="3"/>
      <c r="K182" s="3"/>
      <c r="L182" s="3"/>
      <c r="M182" s="3"/>
      <c r="N182" s="3"/>
      <c r="O182" s="3"/>
      <c r="Q182" s="3"/>
      <c r="R182" s="3"/>
      <c r="S182" s="3"/>
      <c r="T182" s="3"/>
      <c r="U182" s="1"/>
      <c r="V182" s="3"/>
      <c r="W182" s="3"/>
      <c r="X182" s="3"/>
      <c r="Y182" s="3"/>
      <c r="Z182" s="3"/>
      <c r="AA182" s="3"/>
      <c r="AB182" s="3"/>
      <c r="AC182" s="3"/>
      <c r="AD182" s="3"/>
      <c r="AE182" s="3"/>
      <c r="AF182" s="3"/>
      <c r="AG182" s="3"/>
      <c r="AH182" s="3"/>
      <c r="AI182" s="3"/>
      <c r="AJ182" s="3"/>
    </row>
    <row r="183" spans="1:36">
      <c r="A183" s="3"/>
      <c r="B183" s="3"/>
      <c r="C183" s="3"/>
      <c r="D183" s="1"/>
      <c r="E183" s="1"/>
      <c r="F183" s="3"/>
      <c r="G183" s="3"/>
      <c r="H183" s="3"/>
      <c r="I183" s="3"/>
      <c r="J183" s="3"/>
      <c r="K183" s="3"/>
      <c r="L183" s="3"/>
      <c r="M183" s="3"/>
      <c r="N183" s="3"/>
      <c r="O183" s="3"/>
      <c r="Q183" s="3"/>
      <c r="R183" s="3"/>
      <c r="S183" s="3"/>
      <c r="T183" s="3"/>
      <c r="U183" s="1"/>
      <c r="V183" s="3"/>
      <c r="W183" s="3"/>
      <c r="X183" s="3"/>
      <c r="Y183" s="3"/>
      <c r="Z183" s="3"/>
      <c r="AA183" s="3"/>
      <c r="AB183" s="3"/>
      <c r="AC183" s="3"/>
      <c r="AD183" s="3"/>
      <c r="AE183" s="3"/>
      <c r="AF183" s="3"/>
      <c r="AG183" s="3"/>
      <c r="AH183" s="3"/>
      <c r="AI183" s="3"/>
      <c r="AJ183" s="3"/>
    </row>
    <row r="184" spans="1:36">
      <c r="A184" s="3"/>
      <c r="B184" s="3"/>
      <c r="C184" s="3"/>
      <c r="D184" s="1"/>
      <c r="E184" s="1"/>
      <c r="F184" s="3"/>
      <c r="G184" s="3"/>
      <c r="H184" s="3"/>
      <c r="I184" s="3"/>
      <c r="J184" s="3"/>
      <c r="K184" s="3"/>
      <c r="L184" s="3"/>
      <c r="M184" s="3"/>
      <c r="N184" s="3"/>
      <c r="O184" s="3"/>
      <c r="Q184" s="3"/>
      <c r="R184" s="3"/>
      <c r="S184" s="3"/>
      <c r="T184" s="3"/>
      <c r="U184" s="1"/>
      <c r="V184" s="3"/>
      <c r="W184" s="3"/>
      <c r="X184" s="3"/>
      <c r="Y184" s="3"/>
      <c r="Z184" s="3"/>
      <c r="AA184" s="3"/>
      <c r="AB184" s="3"/>
      <c r="AC184" s="3"/>
      <c r="AD184" s="3"/>
      <c r="AE184" s="3"/>
      <c r="AF184" s="3"/>
      <c r="AG184" s="3"/>
      <c r="AH184" s="3"/>
      <c r="AI184" s="3"/>
      <c r="AJ184" s="3"/>
    </row>
    <row r="185" spans="1:36">
      <c r="A185" s="3"/>
      <c r="B185" s="3"/>
      <c r="C185" s="3"/>
      <c r="D185" s="1"/>
      <c r="E185" s="1"/>
      <c r="F185" s="3"/>
      <c r="G185" s="3"/>
      <c r="H185" s="3"/>
      <c r="I185" s="3"/>
      <c r="J185" s="3"/>
      <c r="K185" s="3"/>
      <c r="L185" s="3"/>
      <c r="M185" s="3"/>
      <c r="N185" s="3"/>
      <c r="O185" s="3"/>
      <c r="Q185" s="3"/>
      <c r="R185" s="3"/>
      <c r="S185" s="3"/>
      <c r="T185" s="3"/>
      <c r="U185" s="1"/>
      <c r="V185" s="3"/>
      <c r="W185" s="3"/>
      <c r="X185" s="3"/>
      <c r="Y185" s="3"/>
      <c r="Z185" s="3"/>
      <c r="AA185" s="3"/>
      <c r="AB185" s="3"/>
      <c r="AC185" s="3"/>
      <c r="AD185" s="3"/>
      <c r="AE185" s="3"/>
      <c r="AF185" s="3"/>
      <c r="AG185" s="3"/>
      <c r="AH185" s="3"/>
      <c r="AI185" s="3"/>
      <c r="AJ185" s="3"/>
    </row>
    <row r="186" spans="1:36">
      <c r="A186" s="3"/>
      <c r="B186" s="3"/>
      <c r="C186" s="3"/>
      <c r="D186" s="1"/>
      <c r="E186" s="1"/>
      <c r="F186" s="3"/>
      <c r="G186" s="3"/>
      <c r="H186" s="3"/>
      <c r="I186" s="3"/>
      <c r="J186" s="3"/>
      <c r="K186" s="3"/>
      <c r="L186" s="3"/>
      <c r="M186" s="3"/>
      <c r="N186" s="3"/>
      <c r="O186" s="3"/>
      <c r="Q186" s="3"/>
      <c r="R186" s="3"/>
      <c r="S186" s="3"/>
      <c r="T186" s="3"/>
      <c r="U186" s="1"/>
      <c r="V186" s="3"/>
      <c r="W186" s="3"/>
      <c r="X186" s="3"/>
      <c r="Y186" s="3"/>
      <c r="Z186" s="3"/>
      <c r="AA186" s="3"/>
      <c r="AB186" s="3"/>
      <c r="AC186" s="3"/>
      <c r="AD186" s="3"/>
      <c r="AE186" s="3"/>
      <c r="AF186" s="3"/>
      <c r="AG186" s="3"/>
      <c r="AH186" s="3"/>
      <c r="AI186" s="3"/>
      <c r="AJ186" s="3"/>
    </row>
    <row r="187" spans="1:36">
      <c r="A187" s="3"/>
      <c r="B187" s="3"/>
      <c r="C187" s="3"/>
      <c r="D187" s="1"/>
      <c r="E187" s="1"/>
      <c r="F187" s="3"/>
      <c r="G187" s="3"/>
      <c r="H187" s="3"/>
      <c r="I187" s="3"/>
      <c r="J187" s="3"/>
      <c r="K187" s="3"/>
      <c r="L187" s="3"/>
      <c r="M187" s="3"/>
      <c r="N187" s="3"/>
      <c r="O187" s="3"/>
      <c r="Q187" s="3"/>
      <c r="R187" s="3"/>
      <c r="S187" s="3"/>
      <c r="T187" s="3"/>
      <c r="U187" s="1"/>
      <c r="V187" s="3"/>
      <c r="W187" s="3"/>
      <c r="X187" s="3"/>
      <c r="Y187" s="3"/>
      <c r="Z187" s="3"/>
      <c r="AA187" s="3"/>
      <c r="AB187" s="3"/>
      <c r="AC187" s="3"/>
      <c r="AD187" s="3"/>
      <c r="AE187" s="3"/>
      <c r="AF187" s="3"/>
      <c r="AG187" s="3"/>
      <c r="AH187" s="3"/>
      <c r="AI187" s="3"/>
      <c r="AJ187" s="3"/>
    </row>
    <row r="188" spans="1:36">
      <c r="A188" s="3"/>
      <c r="B188" s="3"/>
      <c r="C188" s="3"/>
      <c r="D188" s="1"/>
      <c r="E188" s="1"/>
      <c r="F188" s="3"/>
      <c r="G188" s="3"/>
      <c r="H188" s="3"/>
      <c r="I188" s="3"/>
      <c r="J188" s="3"/>
      <c r="K188" s="3"/>
      <c r="L188" s="3"/>
      <c r="M188" s="3"/>
      <c r="N188" s="3"/>
      <c r="O188" s="3"/>
      <c r="Q188" s="3"/>
      <c r="R188" s="3"/>
      <c r="S188" s="3"/>
      <c r="T188" s="3"/>
      <c r="U188" s="1"/>
      <c r="V188" s="3"/>
      <c r="W188" s="3"/>
      <c r="X188" s="3"/>
      <c r="Y188" s="3"/>
      <c r="Z188" s="3"/>
      <c r="AA188" s="3"/>
      <c r="AB188" s="3"/>
      <c r="AC188" s="3"/>
      <c r="AD188" s="3"/>
      <c r="AE188" s="3"/>
      <c r="AF188" s="3"/>
      <c r="AG188" s="3"/>
      <c r="AH188" s="3"/>
      <c r="AI188" s="3"/>
      <c r="AJ188" s="3"/>
    </row>
    <row r="189" spans="1:36">
      <c r="A189" s="3"/>
      <c r="B189" s="3"/>
      <c r="C189" s="3"/>
      <c r="D189" s="1"/>
      <c r="E189" s="1"/>
      <c r="F189" s="3"/>
      <c r="G189" s="3"/>
      <c r="H189" s="3"/>
      <c r="I189" s="3"/>
      <c r="J189" s="3"/>
      <c r="K189" s="3"/>
      <c r="L189" s="3"/>
      <c r="M189" s="3"/>
      <c r="N189" s="3"/>
      <c r="O189" s="3"/>
      <c r="Q189" s="3"/>
      <c r="R189" s="3"/>
      <c r="S189" s="3"/>
      <c r="T189" s="3"/>
      <c r="U189" s="1"/>
      <c r="V189" s="3"/>
      <c r="W189" s="3"/>
      <c r="X189" s="3"/>
      <c r="Y189" s="3"/>
      <c r="Z189" s="3"/>
      <c r="AA189" s="3"/>
      <c r="AB189" s="3"/>
      <c r="AC189" s="3"/>
      <c r="AD189" s="3"/>
      <c r="AE189" s="3"/>
      <c r="AF189" s="3"/>
      <c r="AG189" s="3"/>
      <c r="AH189" s="3"/>
      <c r="AI189" s="3"/>
      <c r="AJ189" s="3"/>
    </row>
    <row r="190" spans="1:36">
      <c r="A190" s="3"/>
      <c r="B190" s="3"/>
      <c r="C190" s="3"/>
      <c r="D190" s="1"/>
      <c r="E190" s="1"/>
      <c r="F190" s="3"/>
      <c r="G190" s="3"/>
      <c r="H190" s="3"/>
      <c r="I190" s="3"/>
      <c r="J190" s="3"/>
      <c r="K190" s="3"/>
      <c r="L190" s="3"/>
      <c r="M190" s="3"/>
      <c r="N190" s="3"/>
      <c r="O190" s="3"/>
      <c r="Q190" s="3"/>
      <c r="R190" s="3"/>
      <c r="S190" s="3"/>
      <c r="T190" s="3"/>
      <c r="U190" s="1"/>
      <c r="V190" s="3"/>
      <c r="W190" s="3"/>
      <c r="X190" s="3"/>
      <c r="Y190" s="3"/>
      <c r="Z190" s="3"/>
      <c r="AA190" s="3"/>
      <c r="AB190" s="3"/>
      <c r="AC190" s="3"/>
      <c r="AD190" s="3"/>
      <c r="AE190" s="3"/>
      <c r="AF190" s="3"/>
      <c r="AG190" s="3"/>
      <c r="AH190" s="3"/>
      <c r="AI190" s="3"/>
      <c r="AJ190" s="3"/>
    </row>
    <row r="191" spans="1:36">
      <c r="A191" s="3"/>
      <c r="B191" s="3"/>
      <c r="C191" s="3"/>
      <c r="D191" s="1"/>
      <c r="E191" s="1"/>
      <c r="F191" s="3"/>
      <c r="G191" s="3"/>
      <c r="H191" s="3"/>
      <c r="I191" s="3"/>
      <c r="J191" s="3"/>
      <c r="K191" s="3"/>
      <c r="L191" s="3"/>
      <c r="M191" s="3"/>
      <c r="N191" s="3"/>
      <c r="O191" s="3"/>
      <c r="Q191" s="3"/>
      <c r="R191" s="3"/>
      <c r="S191" s="3"/>
      <c r="T191" s="3"/>
      <c r="U191" s="1"/>
      <c r="V191" s="3"/>
      <c r="W191" s="3"/>
      <c r="X191" s="3"/>
      <c r="Y191" s="3"/>
      <c r="Z191" s="3"/>
      <c r="AA191" s="3"/>
      <c r="AB191" s="3"/>
      <c r="AC191" s="3"/>
      <c r="AD191" s="3"/>
      <c r="AE191" s="3"/>
      <c r="AF191" s="3"/>
      <c r="AG191" s="3"/>
      <c r="AH191" s="3"/>
      <c r="AI191" s="3"/>
      <c r="AJ191" s="3"/>
    </row>
    <row r="192" spans="1:36">
      <c r="A192" s="3"/>
      <c r="B192" s="3"/>
      <c r="C192" s="3"/>
      <c r="D192" s="1"/>
      <c r="E192" s="1"/>
      <c r="F192" s="3"/>
      <c r="G192" s="3"/>
      <c r="H192" s="3"/>
      <c r="I192" s="3"/>
      <c r="J192" s="3"/>
      <c r="K192" s="3"/>
      <c r="L192" s="3"/>
      <c r="M192" s="3"/>
      <c r="N192" s="3"/>
      <c r="O192" s="3"/>
      <c r="Q192" s="3"/>
      <c r="R192" s="3"/>
      <c r="S192" s="3"/>
      <c r="T192" s="3"/>
      <c r="U192" s="1"/>
      <c r="V192" s="3"/>
      <c r="W192" s="3"/>
      <c r="X192" s="3"/>
      <c r="Y192" s="3"/>
      <c r="Z192" s="3"/>
      <c r="AA192" s="3"/>
      <c r="AB192" s="3"/>
      <c r="AC192" s="3"/>
      <c r="AD192" s="3"/>
      <c r="AE192" s="3"/>
      <c r="AF192" s="3"/>
      <c r="AG192" s="3"/>
      <c r="AH192" s="3"/>
      <c r="AI192" s="3"/>
      <c r="AJ192" s="3"/>
    </row>
    <row r="193" spans="1:36">
      <c r="A193" s="3"/>
      <c r="B193" s="3"/>
      <c r="C193" s="3"/>
      <c r="D193" s="1"/>
      <c r="E193" s="1"/>
      <c r="F193" s="3"/>
      <c r="G193" s="3"/>
      <c r="H193" s="3"/>
      <c r="I193" s="3"/>
      <c r="J193" s="3"/>
      <c r="K193" s="3"/>
      <c r="L193" s="3"/>
      <c r="M193" s="3"/>
      <c r="N193" s="3"/>
      <c r="O193" s="3"/>
      <c r="Q193" s="3"/>
      <c r="R193" s="3"/>
      <c r="S193" s="3"/>
      <c r="T193" s="3"/>
      <c r="U193" s="1"/>
      <c r="V193" s="3"/>
      <c r="W193" s="3"/>
      <c r="X193" s="3"/>
      <c r="Y193" s="3"/>
      <c r="Z193" s="3"/>
      <c r="AA193" s="3"/>
      <c r="AB193" s="3"/>
      <c r="AC193" s="3"/>
      <c r="AD193" s="3"/>
      <c r="AE193" s="3"/>
      <c r="AF193" s="3"/>
      <c r="AG193" s="3"/>
      <c r="AH193" s="3"/>
      <c r="AI193" s="3"/>
      <c r="AJ193" s="3"/>
    </row>
    <row r="194" spans="1:36">
      <c r="A194" s="3"/>
      <c r="B194" s="3"/>
      <c r="C194" s="3"/>
      <c r="D194" s="1"/>
      <c r="E194" s="1"/>
      <c r="F194" s="3"/>
      <c r="G194" s="3"/>
      <c r="H194" s="3"/>
      <c r="I194" s="3"/>
      <c r="J194" s="3"/>
      <c r="K194" s="3"/>
      <c r="L194" s="3"/>
      <c r="M194" s="3"/>
      <c r="N194" s="3"/>
      <c r="O194" s="3"/>
      <c r="Q194" s="3"/>
      <c r="R194" s="3"/>
      <c r="S194" s="3"/>
      <c r="T194" s="3"/>
      <c r="U194" s="1"/>
      <c r="V194" s="3"/>
      <c r="W194" s="3"/>
      <c r="X194" s="3"/>
      <c r="Y194" s="3"/>
      <c r="Z194" s="3"/>
      <c r="AA194" s="3"/>
      <c r="AB194" s="3"/>
      <c r="AC194" s="3"/>
      <c r="AD194" s="3"/>
      <c r="AE194" s="3"/>
      <c r="AF194" s="3"/>
      <c r="AG194" s="3"/>
      <c r="AH194" s="3"/>
      <c r="AI194" s="3"/>
      <c r="AJ194" s="3"/>
    </row>
    <row r="195" spans="1:36">
      <c r="A195" s="3"/>
      <c r="B195" s="3"/>
      <c r="C195" s="3"/>
      <c r="D195" s="1"/>
      <c r="E195" s="1"/>
      <c r="F195" s="3"/>
      <c r="G195" s="3"/>
      <c r="H195" s="3"/>
      <c r="I195" s="3"/>
      <c r="J195" s="3"/>
      <c r="K195" s="3"/>
      <c r="L195" s="3"/>
      <c r="M195" s="3"/>
      <c r="N195" s="3"/>
      <c r="O195" s="3"/>
      <c r="Q195" s="3"/>
      <c r="R195" s="3"/>
      <c r="S195" s="3"/>
      <c r="T195" s="3"/>
      <c r="U195" s="1"/>
      <c r="V195" s="3"/>
      <c r="W195" s="3"/>
      <c r="X195" s="3"/>
      <c r="Y195" s="3"/>
      <c r="Z195" s="3"/>
      <c r="AA195" s="3"/>
      <c r="AB195" s="3"/>
      <c r="AC195" s="3"/>
      <c r="AD195" s="3"/>
      <c r="AE195" s="3"/>
      <c r="AF195" s="3"/>
      <c r="AG195" s="3"/>
      <c r="AH195" s="3"/>
      <c r="AI195" s="3"/>
      <c r="AJ195" s="3"/>
    </row>
    <row r="196" spans="1:36">
      <c r="A196" s="3"/>
      <c r="B196" s="3"/>
      <c r="C196" s="3"/>
      <c r="D196" s="1"/>
      <c r="E196" s="1"/>
      <c r="F196" s="3"/>
      <c r="G196" s="3"/>
      <c r="H196" s="3"/>
      <c r="I196" s="3"/>
      <c r="J196" s="3"/>
      <c r="K196" s="3"/>
      <c r="L196" s="3"/>
      <c r="M196" s="3"/>
      <c r="N196" s="3"/>
      <c r="O196" s="3"/>
      <c r="Q196" s="3"/>
      <c r="R196" s="3"/>
      <c r="S196" s="3"/>
      <c r="T196" s="3"/>
      <c r="U196" s="1"/>
      <c r="V196" s="3"/>
      <c r="W196" s="3"/>
      <c r="X196" s="3"/>
      <c r="Y196" s="3"/>
      <c r="Z196" s="3"/>
      <c r="AA196" s="3"/>
      <c r="AB196" s="3"/>
      <c r="AC196" s="3"/>
      <c r="AD196" s="3"/>
      <c r="AE196" s="3"/>
      <c r="AF196" s="3"/>
      <c r="AG196" s="3"/>
      <c r="AH196" s="3"/>
      <c r="AI196" s="3"/>
      <c r="AJ196" s="3"/>
    </row>
    <row r="197" spans="1:36">
      <c r="A197" s="3"/>
      <c r="B197" s="3"/>
      <c r="C197" s="3"/>
      <c r="D197" s="1"/>
      <c r="E197" s="1"/>
      <c r="F197" s="3"/>
      <c r="G197" s="3"/>
      <c r="H197" s="3"/>
      <c r="I197" s="3"/>
      <c r="J197" s="3"/>
      <c r="K197" s="3"/>
      <c r="L197" s="3"/>
      <c r="M197" s="3"/>
      <c r="N197" s="3"/>
      <c r="O197" s="3"/>
      <c r="Q197" s="3"/>
      <c r="R197" s="3"/>
      <c r="S197" s="3"/>
      <c r="T197" s="3"/>
      <c r="U197" s="1"/>
      <c r="V197" s="3"/>
      <c r="W197" s="3"/>
      <c r="X197" s="3"/>
      <c r="Y197" s="3"/>
      <c r="Z197" s="3"/>
      <c r="AA197" s="3"/>
      <c r="AB197" s="3"/>
      <c r="AC197" s="3"/>
      <c r="AD197" s="3"/>
      <c r="AE197" s="3"/>
      <c r="AF197" s="3"/>
      <c r="AG197" s="3"/>
      <c r="AH197" s="3"/>
      <c r="AI197" s="3"/>
      <c r="AJ197" s="3"/>
    </row>
    <row r="198" spans="1:36">
      <c r="A198" s="3"/>
      <c r="B198" s="3"/>
      <c r="C198" s="3"/>
      <c r="D198" s="1"/>
      <c r="E198" s="1"/>
      <c r="F198" s="3"/>
      <c r="G198" s="3"/>
      <c r="H198" s="3"/>
      <c r="I198" s="3"/>
      <c r="J198" s="3"/>
      <c r="K198" s="3"/>
      <c r="L198" s="3"/>
      <c r="M198" s="3"/>
      <c r="N198" s="3"/>
      <c r="O198" s="3"/>
      <c r="Q198" s="3"/>
      <c r="R198" s="3"/>
      <c r="S198" s="3"/>
      <c r="T198" s="3"/>
      <c r="U198" s="1"/>
      <c r="V198" s="3"/>
      <c r="W198" s="3"/>
      <c r="X198" s="3"/>
      <c r="Y198" s="3"/>
      <c r="Z198" s="3"/>
      <c r="AA198" s="3"/>
      <c r="AB198" s="3"/>
      <c r="AC198" s="3"/>
      <c r="AD198" s="3"/>
      <c r="AE198" s="3"/>
      <c r="AF198" s="3"/>
      <c r="AG198" s="3"/>
      <c r="AH198" s="3"/>
      <c r="AI198" s="3"/>
      <c r="AJ198" s="3"/>
    </row>
    <row r="199" spans="1:36">
      <c r="A199" s="3"/>
      <c r="B199" s="3"/>
      <c r="C199" s="3"/>
      <c r="D199" s="1"/>
      <c r="E199" s="1"/>
      <c r="F199" s="3"/>
      <c r="G199" s="3"/>
      <c r="H199" s="3"/>
      <c r="I199" s="3"/>
      <c r="J199" s="3"/>
      <c r="K199" s="3"/>
      <c r="L199" s="3"/>
      <c r="M199" s="3"/>
      <c r="N199" s="3"/>
      <c r="O199" s="3"/>
      <c r="Q199" s="3"/>
      <c r="R199" s="3"/>
      <c r="S199" s="3"/>
      <c r="T199" s="3"/>
      <c r="U199" s="1"/>
      <c r="V199" s="3"/>
      <c r="W199" s="3"/>
      <c r="X199" s="3"/>
      <c r="Y199" s="3"/>
      <c r="Z199" s="3"/>
      <c r="AA199" s="3"/>
      <c r="AB199" s="3"/>
      <c r="AC199" s="3"/>
      <c r="AD199" s="3"/>
      <c r="AE199" s="3"/>
      <c r="AF199" s="3"/>
      <c r="AG199" s="3"/>
      <c r="AH199" s="3"/>
      <c r="AI199" s="3"/>
      <c r="AJ199" s="3"/>
    </row>
    <row r="200" spans="1:36">
      <c r="A200" s="3"/>
      <c r="B200" s="3"/>
      <c r="C200" s="3"/>
      <c r="D200" s="1"/>
      <c r="E200" s="1"/>
      <c r="F200" s="3"/>
      <c r="G200" s="3"/>
      <c r="H200" s="3"/>
      <c r="I200" s="3"/>
      <c r="J200" s="3"/>
      <c r="K200" s="3"/>
      <c r="L200" s="3"/>
      <c r="M200" s="3"/>
      <c r="N200" s="3"/>
      <c r="O200" s="3"/>
      <c r="Q200" s="3"/>
      <c r="R200" s="3"/>
      <c r="S200" s="3"/>
      <c r="T200" s="3"/>
      <c r="U200" s="1"/>
      <c r="V200" s="3"/>
      <c r="W200" s="3"/>
      <c r="X200" s="3"/>
      <c r="Y200" s="3"/>
      <c r="Z200" s="3"/>
      <c r="AA200" s="3"/>
      <c r="AB200" s="3"/>
      <c r="AC200" s="3"/>
      <c r="AD200" s="3"/>
      <c r="AE200" s="3"/>
      <c r="AF200" s="3"/>
      <c r="AG200" s="3"/>
      <c r="AH200" s="3"/>
      <c r="AI200" s="3"/>
      <c r="AJ200" s="3"/>
    </row>
    <row r="201" spans="1:36">
      <c r="A201" s="3"/>
      <c r="B201" s="3"/>
      <c r="C201" s="3"/>
      <c r="D201" s="1"/>
      <c r="E201" s="1"/>
      <c r="F201" s="3"/>
      <c r="G201" s="3"/>
      <c r="H201" s="3"/>
      <c r="I201" s="3"/>
      <c r="J201" s="3"/>
      <c r="K201" s="3"/>
      <c r="L201" s="3"/>
      <c r="M201" s="3"/>
      <c r="N201" s="3"/>
      <c r="O201" s="3"/>
      <c r="Q201" s="3"/>
      <c r="R201" s="3"/>
      <c r="S201" s="3"/>
      <c r="T201" s="3"/>
      <c r="U201" s="1"/>
      <c r="V201" s="3"/>
      <c r="W201" s="3"/>
      <c r="X201" s="3"/>
      <c r="Y201" s="3"/>
      <c r="Z201" s="3"/>
      <c r="AA201" s="3"/>
      <c r="AB201" s="3"/>
      <c r="AC201" s="3"/>
      <c r="AD201" s="3"/>
      <c r="AE201" s="3"/>
      <c r="AF201" s="3"/>
      <c r="AG201" s="3"/>
      <c r="AH201" s="3"/>
      <c r="AI201" s="3"/>
      <c r="AJ201" s="3"/>
    </row>
    <row r="202" spans="1:36">
      <c r="A202" s="3"/>
      <c r="B202" s="3"/>
      <c r="C202" s="3"/>
      <c r="D202" s="1"/>
      <c r="E202" s="1"/>
      <c r="F202" s="3"/>
      <c r="G202" s="3"/>
      <c r="H202" s="3"/>
      <c r="I202" s="3"/>
      <c r="J202" s="3"/>
      <c r="K202" s="3"/>
      <c r="L202" s="3"/>
      <c r="M202" s="3"/>
      <c r="N202" s="3"/>
      <c r="O202" s="3"/>
      <c r="Q202" s="3"/>
      <c r="R202" s="3"/>
      <c r="S202" s="3"/>
      <c r="T202" s="3"/>
      <c r="U202" s="1"/>
      <c r="V202" s="3"/>
      <c r="W202" s="3"/>
      <c r="X202" s="3"/>
      <c r="Y202" s="3"/>
      <c r="Z202" s="3"/>
      <c r="AA202" s="3"/>
      <c r="AB202" s="3"/>
      <c r="AC202" s="3"/>
      <c r="AD202" s="3"/>
      <c r="AE202" s="3"/>
      <c r="AF202" s="3"/>
      <c r="AG202" s="3"/>
      <c r="AH202" s="3"/>
      <c r="AI202" s="3"/>
      <c r="AJ202" s="3"/>
    </row>
    <row r="203" spans="1:36">
      <c r="A203" s="3"/>
      <c r="B203" s="3"/>
      <c r="C203" s="3"/>
      <c r="D203" s="1"/>
      <c r="E203" s="1"/>
      <c r="F203" s="3"/>
      <c r="G203" s="3"/>
      <c r="H203" s="3"/>
      <c r="I203" s="3"/>
      <c r="J203" s="3"/>
      <c r="K203" s="3"/>
      <c r="L203" s="3"/>
      <c r="M203" s="3"/>
      <c r="N203" s="3"/>
      <c r="O203" s="3"/>
      <c r="Q203" s="3"/>
      <c r="R203" s="3"/>
      <c r="S203" s="3"/>
      <c r="T203" s="3"/>
      <c r="U203" s="1"/>
      <c r="V203" s="3"/>
      <c r="W203" s="3"/>
      <c r="X203" s="3"/>
      <c r="Y203" s="3"/>
      <c r="Z203" s="3"/>
      <c r="AA203" s="3"/>
      <c r="AB203" s="3"/>
      <c r="AC203" s="3"/>
      <c r="AD203" s="3"/>
      <c r="AE203" s="3"/>
      <c r="AF203" s="3"/>
      <c r="AG203" s="3"/>
      <c r="AH203" s="3"/>
      <c r="AI203" s="3"/>
      <c r="AJ203" s="3"/>
    </row>
    <row r="204" spans="1:36">
      <c r="A204" s="3"/>
      <c r="B204" s="3"/>
      <c r="C204" s="3"/>
      <c r="D204" s="1"/>
      <c r="E204" s="1"/>
      <c r="F204" s="3"/>
      <c r="G204" s="3"/>
      <c r="H204" s="3"/>
      <c r="I204" s="3"/>
      <c r="J204" s="3"/>
      <c r="K204" s="3"/>
      <c r="L204" s="3"/>
      <c r="M204" s="3"/>
      <c r="N204" s="3"/>
      <c r="O204" s="3"/>
      <c r="Q204" s="3"/>
      <c r="R204" s="3"/>
      <c r="S204" s="3"/>
      <c r="T204" s="3"/>
      <c r="U204" s="1"/>
      <c r="V204" s="3"/>
      <c r="W204" s="3"/>
      <c r="X204" s="3"/>
      <c r="Y204" s="3"/>
      <c r="Z204" s="3"/>
      <c r="AA204" s="3"/>
      <c r="AB204" s="3"/>
      <c r="AC204" s="3"/>
      <c r="AD204" s="3"/>
      <c r="AE204" s="3"/>
      <c r="AF204" s="3"/>
      <c r="AG204" s="3"/>
      <c r="AH204" s="3"/>
      <c r="AI204" s="3"/>
      <c r="AJ204" s="3"/>
    </row>
    <row r="205" spans="1:36">
      <c r="A205" s="3"/>
      <c r="B205" s="3"/>
      <c r="C205" s="3"/>
      <c r="D205" s="1"/>
      <c r="E205" s="1"/>
      <c r="F205" s="3"/>
      <c r="G205" s="3"/>
      <c r="H205" s="3"/>
      <c r="I205" s="3"/>
      <c r="J205" s="3"/>
      <c r="K205" s="3"/>
      <c r="L205" s="3"/>
      <c r="M205" s="3"/>
      <c r="N205" s="3"/>
      <c r="O205" s="3"/>
      <c r="Q205" s="3"/>
      <c r="R205" s="3"/>
      <c r="S205" s="3"/>
      <c r="T205" s="3"/>
      <c r="U205" s="1"/>
      <c r="V205" s="3"/>
      <c r="W205" s="3"/>
      <c r="X205" s="3"/>
      <c r="Y205" s="3"/>
      <c r="Z205" s="3"/>
      <c r="AA205" s="3"/>
      <c r="AB205" s="3"/>
      <c r="AC205" s="3"/>
      <c r="AD205" s="3"/>
      <c r="AE205" s="3"/>
      <c r="AF205" s="3"/>
      <c r="AG205" s="3"/>
      <c r="AH205" s="3"/>
      <c r="AI205" s="3"/>
      <c r="AJ205" s="3"/>
    </row>
    <row r="206" spans="1:36">
      <c r="A206" s="3"/>
      <c r="B206" s="3"/>
      <c r="C206" s="3"/>
      <c r="D206" s="1"/>
      <c r="E206" s="1"/>
      <c r="F206" s="3"/>
      <c r="G206" s="3"/>
      <c r="H206" s="3"/>
      <c r="I206" s="3"/>
      <c r="J206" s="3"/>
      <c r="K206" s="3"/>
      <c r="L206" s="3"/>
      <c r="M206" s="3"/>
      <c r="N206" s="3"/>
      <c r="O206" s="3"/>
      <c r="Q206" s="3"/>
      <c r="R206" s="3"/>
      <c r="S206" s="3"/>
      <c r="T206" s="3"/>
      <c r="U206" s="1"/>
      <c r="V206" s="3"/>
      <c r="W206" s="3"/>
      <c r="X206" s="3"/>
      <c r="Y206" s="3"/>
      <c r="Z206" s="3"/>
      <c r="AA206" s="3"/>
      <c r="AB206" s="3"/>
      <c r="AC206" s="3"/>
      <c r="AD206" s="3"/>
      <c r="AE206" s="3"/>
      <c r="AF206" s="3"/>
      <c r="AG206" s="3"/>
      <c r="AH206" s="3"/>
      <c r="AI206" s="3"/>
      <c r="AJ206" s="3"/>
    </row>
    <row r="207" spans="1:36">
      <c r="A207" s="3"/>
      <c r="B207" s="3"/>
      <c r="C207" s="3"/>
      <c r="D207" s="1"/>
      <c r="E207" s="1"/>
      <c r="F207" s="3"/>
      <c r="G207" s="3"/>
      <c r="H207" s="3"/>
      <c r="I207" s="3"/>
      <c r="J207" s="3"/>
      <c r="K207" s="3"/>
      <c r="L207" s="3"/>
      <c r="M207" s="3"/>
      <c r="N207" s="3"/>
      <c r="O207" s="3"/>
      <c r="Q207" s="3"/>
      <c r="R207" s="3"/>
      <c r="S207" s="3"/>
      <c r="T207" s="3"/>
      <c r="U207" s="1"/>
      <c r="V207" s="3"/>
      <c r="W207" s="3"/>
      <c r="X207" s="3"/>
      <c r="Y207" s="3"/>
      <c r="Z207" s="3"/>
      <c r="AA207" s="3"/>
      <c r="AB207" s="3"/>
      <c r="AC207" s="3"/>
      <c r="AD207" s="3"/>
      <c r="AE207" s="3"/>
      <c r="AF207" s="3"/>
      <c r="AG207" s="3"/>
      <c r="AH207" s="3"/>
      <c r="AI207" s="3"/>
      <c r="AJ207" s="3"/>
    </row>
    <row r="208" spans="1:36">
      <c r="A208" s="3"/>
      <c r="B208" s="3"/>
      <c r="C208" s="3"/>
      <c r="D208" s="1"/>
      <c r="E208" s="1"/>
      <c r="F208" s="3"/>
      <c r="G208" s="3"/>
      <c r="H208" s="3"/>
      <c r="I208" s="3"/>
      <c r="J208" s="3"/>
      <c r="K208" s="3"/>
      <c r="L208" s="3"/>
      <c r="M208" s="3"/>
      <c r="N208" s="3"/>
      <c r="O208" s="3"/>
      <c r="Q208" s="3"/>
      <c r="R208" s="3"/>
      <c r="S208" s="3"/>
      <c r="T208" s="3"/>
      <c r="U208" s="1"/>
      <c r="V208" s="3"/>
      <c r="W208" s="3"/>
      <c r="X208" s="3"/>
      <c r="Y208" s="3"/>
      <c r="Z208" s="3"/>
      <c r="AA208" s="3"/>
      <c r="AB208" s="3"/>
      <c r="AC208" s="3"/>
      <c r="AD208" s="3"/>
      <c r="AE208" s="3"/>
      <c r="AF208" s="3"/>
      <c r="AG208" s="3"/>
      <c r="AH208" s="3"/>
      <c r="AI208" s="3"/>
      <c r="AJ208" s="3"/>
    </row>
    <row r="209" spans="1:36">
      <c r="A209" s="3"/>
      <c r="B209" s="3"/>
      <c r="C209" s="3"/>
      <c r="D209" s="1"/>
      <c r="E209" s="1"/>
      <c r="F209" s="3"/>
      <c r="G209" s="3"/>
      <c r="H209" s="3"/>
      <c r="I209" s="3"/>
      <c r="J209" s="3"/>
      <c r="K209" s="3"/>
      <c r="L209" s="3"/>
      <c r="M209" s="3"/>
      <c r="N209" s="3"/>
      <c r="O209" s="3"/>
      <c r="Q209" s="3"/>
      <c r="R209" s="3"/>
      <c r="S209" s="3"/>
      <c r="T209" s="3"/>
      <c r="U209" s="1"/>
      <c r="V209" s="3"/>
      <c r="W209" s="3"/>
      <c r="X209" s="3"/>
      <c r="Y209" s="3"/>
      <c r="Z209" s="3"/>
      <c r="AA209" s="3"/>
      <c r="AB209" s="3"/>
      <c r="AC209" s="3"/>
      <c r="AD209" s="3"/>
      <c r="AE209" s="3"/>
      <c r="AF209" s="3"/>
      <c r="AG209" s="3"/>
      <c r="AH209" s="3"/>
      <c r="AI209" s="3"/>
      <c r="AJ209" s="3"/>
    </row>
  </sheetData>
  <dataValidations count="1">
    <dataValidation type="list" sqref="G2:G23 G69:H78 G80:G509 H2:H65 H80:H91 H93:I509 I69:I82 I84:I91 L2:L4 L6:L63 O93:O509 P57 P59:P61 Q74:Q91 Q93:T509 W93:X509 AH93:AH509 AI2:AI509 AH2:AH91 AE2:AE509 W2:X91 R2:T91 Q2:Q72 O2:O91 L65:L509 I2:I66 H67:I67 G25:G67" xr:uid="{00000000-0002-0000-0000-000000000000}">
      <formula1>#REF!</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1" r:id="rId9" xr:uid="{00000000-0004-0000-0000-000008000000}"/>
    <hyperlink ref="D12" r:id="rId10" xr:uid="{00000000-0004-0000-0000-000009000000}"/>
    <hyperlink ref="D13" r:id="rId11" xr:uid="{00000000-0004-0000-0000-00000A000000}"/>
    <hyperlink ref="D15" r:id="rId12" xr:uid="{00000000-0004-0000-0000-00000B000000}"/>
    <hyperlink ref="D16" r:id="rId13" xr:uid="{00000000-0004-0000-0000-00000C000000}"/>
    <hyperlink ref="D19" r:id="rId14" xr:uid="{00000000-0004-0000-0000-00000D000000}"/>
    <hyperlink ref="D20" r:id="rId15" xr:uid="{00000000-0004-0000-0000-00000E000000}"/>
    <hyperlink ref="D21" r:id="rId16" xr:uid="{00000000-0004-0000-0000-00000F000000}"/>
    <hyperlink ref="D22" r:id="rId17" xr:uid="{00000000-0004-0000-0000-000010000000}"/>
    <hyperlink ref="D23" r:id="rId18" xr:uid="{00000000-0004-0000-0000-000011000000}"/>
    <hyperlink ref="D24" r:id="rId19" xr:uid="{00000000-0004-0000-0000-000012000000}"/>
    <hyperlink ref="D25" r:id="rId20" xr:uid="{00000000-0004-0000-0000-000013000000}"/>
    <hyperlink ref="D26" r:id="rId21" xr:uid="{00000000-0004-0000-0000-000014000000}"/>
    <hyperlink ref="D27" r:id="rId22" xr:uid="{00000000-0004-0000-0000-000015000000}"/>
    <hyperlink ref="D29" r:id="rId23" xr:uid="{00000000-0004-0000-0000-000016000000}"/>
    <hyperlink ref="D30" r:id="rId24" xr:uid="{00000000-0004-0000-0000-000017000000}"/>
    <hyperlink ref="D31" r:id="rId25" xr:uid="{00000000-0004-0000-0000-000018000000}"/>
    <hyperlink ref="D32" r:id="rId26" xr:uid="{00000000-0004-0000-0000-000019000000}"/>
    <hyperlink ref="D33" r:id="rId27" xr:uid="{00000000-0004-0000-0000-00001A000000}"/>
    <hyperlink ref="D34" r:id="rId28" xr:uid="{00000000-0004-0000-0000-00001B000000}"/>
    <hyperlink ref="D35" r:id="rId29" xr:uid="{00000000-0004-0000-0000-00001C000000}"/>
    <hyperlink ref="D37" r:id="rId30" xr:uid="{00000000-0004-0000-0000-00001D000000}"/>
    <hyperlink ref="D38" r:id="rId31" xr:uid="{00000000-0004-0000-0000-00001E000000}"/>
    <hyperlink ref="D39" r:id="rId32" xr:uid="{00000000-0004-0000-0000-00001F000000}"/>
    <hyperlink ref="D40" r:id="rId33" xr:uid="{00000000-0004-0000-0000-000020000000}"/>
    <hyperlink ref="D41" r:id="rId34" xr:uid="{00000000-0004-0000-0000-000021000000}"/>
    <hyperlink ref="D42" r:id="rId35" xr:uid="{00000000-0004-0000-0000-000022000000}"/>
    <hyperlink ref="D43" r:id="rId36" xr:uid="{00000000-0004-0000-0000-000023000000}"/>
    <hyperlink ref="D45" r:id="rId37" xr:uid="{00000000-0004-0000-0000-000024000000}"/>
    <hyperlink ref="D49" r:id="rId38" xr:uid="{00000000-0004-0000-0000-000025000000}"/>
    <hyperlink ref="D50" r:id="rId39" xr:uid="{00000000-0004-0000-0000-000026000000}"/>
    <hyperlink ref="D51" r:id="rId40" xr:uid="{00000000-0004-0000-0000-000027000000}"/>
    <hyperlink ref="D52" r:id="rId41" xr:uid="{00000000-0004-0000-0000-000028000000}"/>
    <hyperlink ref="D53" r:id="rId42" xr:uid="{00000000-0004-0000-0000-000029000000}"/>
    <hyperlink ref="D54" r:id="rId43" xr:uid="{00000000-0004-0000-0000-00002A000000}"/>
    <hyperlink ref="D62" r:id="rId44" xr:uid="{00000000-0004-0000-0000-00002B000000}"/>
    <hyperlink ref="D65" r:id="rId45" xr:uid="{00000000-0004-0000-0000-00002C000000}"/>
    <hyperlink ref="D70" r:id="rId46" xr:uid="{00000000-0004-0000-0000-00002D000000}"/>
    <hyperlink ref="D71" r:id="rId47" xr:uid="{00000000-0004-0000-0000-00002E000000}"/>
    <hyperlink ref="D72" r:id="rId48" xr:uid="{00000000-0004-0000-0000-00002F000000}"/>
    <hyperlink ref="D73" r:id="rId49" xr:uid="{00000000-0004-0000-0000-000030000000}"/>
    <hyperlink ref="D74" r:id="rId50" xr:uid="{00000000-0004-0000-0000-000031000000}"/>
    <hyperlink ref="D76" r:id="rId51" xr:uid="{00000000-0004-0000-0000-000032000000}"/>
    <hyperlink ref="D77" r:id="rId52" xr:uid="{00000000-0004-0000-0000-000033000000}"/>
    <hyperlink ref="D78" r:id="rId53" xr:uid="{00000000-0004-0000-0000-000034000000}"/>
    <hyperlink ref="D80" r:id="rId54" xr:uid="{00000000-0004-0000-0000-000035000000}"/>
    <hyperlink ref="D81" r:id="rId55" xr:uid="{00000000-0004-0000-0000-000036000000}"/>
    <hyperlink ref="D82" r:id="rId56" xr:uid="{00000000-0004-0000-0000-000037000000}"/>
    <hyperlink ref="D83" r:id="rId57" xr:uid="{00000000-0004-0000-0000-000038000000}"/>
    <hyperlink ref="D84" r:id="rId58" xr:uid="{00000000-0004-0000-0000-000039000000}"/>
    <hyperlink ref="D85" r:id="rId59" xr:uid="{00000000-0004-0000-0000-00003A000000}"/>
    <hyperlink ref="D86" r:id="rId60" xr:uid="{00000000-0004-0000-0000-00003B000000}"/>
    <hyperlink ref="D87" r:id="rId61" xr:uid="{00000000-0004-0000-0000-00003C000000}"/>
    <hyperlink ref="D88" r:id="rId62" xr:uid="{00000000-0004-0000-0000-00003D000000}"/>
    <hyperlink ref="D89" r:id="rId63" xr:uid="{00000000-0004-0000-0000-00003E000000}"/>
    <hyperlink ref="D90" r:id="rId64" xr:uid="{00000000-0004-0000-0000-00003F000000}"/>
    <hyperlink ref="D91" r:id="rId65" xr:uid="{00000000-0004-0000-0000-000040000000}"/>
    <hyperlink ref="D92" r:id="rId66" xr:uid="{00000000-0004-0000-0000-000041000000}"/>
    <hyperlink ref="D93" r:id="rId67" xr:uid="{00000000-0004-0000-0000-000042000000}"/>
    <hyperlink ref="D94" r:id="rId68" xr:uid="{00000000-0004-0000-0000-000043000000}"/>
    <hyperlink ref="D95" r:id="rId69" xr:uid="{00000000-0004-0000-0000-000044000000}"/>
    <hyperlink ref="D96" r:id="rId70" xr:uid="{00000000-0004-0000-0000-000045000000}"/>
    <hyperlink ref="D97" r:id="rId71" xr:uid="{00000000-0004-0000-0000-000046000000}"/>
    <hyperlink ref="D98" r:id="rId72" xr:uid="{00000000-0004-0000-0000-000047000000}"/>
    <hyperlink ref="D99" r:id="rId73" xr:uid="{00000000-0004-0000-0000-000048000000}"/>
    <hyperlink ref="D100" r:id="rId74" display="https://www.cdc.gov/nchs/nhcs/index.html" xr:uid="{00000000-0004-0000-0000-000049000000}"/>
    <hyperlink ref="D101" r:id="rId75" display="https://www.cdc.gov/nndss/site.html" xr:uid="{00000000-0004-0000-0000-00004A000000}"/>
    <hyperlink ref="D102" r:id="rId76" display="https://sleepdata.org/" xr:uid="{00000000-0004-0000-0000-00004B000000}"/>
    <hyperlink ref="D103" r:id="rId77" display="https://nda.nih.gov/" xr:uid="{00000000-0004-0000-0000-00004C000000}"/>
    <hyperlink ref="D104" r:id="rId78" display="https://www.niddk.nih.gov/about-niddk/strategic-plans-reports/usrds" xr:uid="{00000000-0004-0000-0000-00004D000000}"/>
    <hyperlink ref="D105" r:id="rId79" display="https://nemsis.org/" xr:uid="{00000000-0004-0000-0000-00004E000000}"/>
    <hyperlink ref="D106" r:id="rId80" display="https://hints.cancer.gov/" xr:uid="{00000000-0004-0000-0000-00004F000000}"/>
    <hyperlink ref="D75" r:id="rId81" xr:uid="{F1244711-2B88-5E46-A595-7FD72034E280}"/>
    <hyperlink ref="D79" r:id="rId82" xr:uid="{94EB98B4-08A3-794A-9CF3-338C24A8B1BE}"/>
    <hyperlink ref="D68" r:id="rId83" xr:uid="{3E64AE46-01F3-CA44-B17C-586607397E03}"/>
    <hyperlink ref="D69" r:id="rId84" xr:uid="{1871284A-ED7F-724A-856F-9FB3DBFDAEF1}"/>
    <hyperlink ref="D66" r:id="rId85" xr:uid="{DE2A28B3-C12E-3843-BC4C-9304865ABABF}"/>
    <hyperlink ref="D64" r:id="rId86" xr:uid="{436E68A3-14FD-5341-BBC9-7FF098F95D77}"/>
    <hyperlink ref="D63" r:id="rId87" xr:uid="{1D292876-A90F-AA4F-BE42-4390B51F1897}"/>
    <hyperlink ref="C61" r:id="rId88" xr:uid="{856B3D36-464A-B345-B199-BC4D91657EC2}"/>
  </hyperlinks>
  <pageMargins left="0.7" right="0.7" top="0.75" bottom="0.75" header="0.3" footer="0.3"/>
  <tableParts count="1">
    <tablePart r:id="rId89"/>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Data_Prep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Nicolas Sapountzis</dc:creator>
  <cp:lastModifiedBy>Plowman, Sydney</cp:lastModifiedBy>
  <dcterms:created xsi:type="dcterms:W3CDTF">2026-06-10T19:54:43Z</dcterms:created>
  <dcterms:modified xsi:type="dcterms:W3CDTF">2026-10-06T18:51:11Z</dcterms:modified>
</cp:coreProperties>
</file>