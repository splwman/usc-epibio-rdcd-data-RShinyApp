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https://emailsc-my.sharepoint.com/personal/splowman_mailbox_sc_edu/Documents/Projects/Data Sources/rdcd data sources app/"/>
    </mc:Choice>
  </mc:AlternateContent>
  <xr:revisionPtr revIDLastSave="1" documentId="11_2A85122CB0819D5AF39811662848232F6ABEE378" xr6:coauthVersionLast="47" xr6:coauthVersionMax="47" xr10:uidLastSave="{8BA6015B-BA13-9044-8AEC-4828BB3342D7}"/>
  <bookViews>
    <workbookView xWindow="0" yWindow="660" windowWidth="29040" windowHeight="15720" xr2:uid="{00000000-000D-0000-FFFF-FFFF00000000}"/>
  </bookViews>
  <sheets>
    <sheet name="Data_Prep"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07" i="1" l="1"/>
  <c r="AJ106" i="1"/>
  <c r="AJ105" i="1"/>
  <c r="AJ104" i="1"/>
  <c r="AJ103" i="1"/>
  <c r="AJ102" i="1"/>
  <c r="AJ101" i="1"/>
  <c r="AJ100" i="1"/>
  <c r="AJ99" i="1"/>
  <c r="AJ98" i="1"/>
  <c r="AJ97" i="1"/>
  <c r="AJ96" i="1"/>
  <c r="AJ95" i="1"/>
  <c r="AJ94" i="1"/>
  <c r="AJ93" i="1"/>
  <c r="AJ92" i="1"/>
  <c r="AJ91" i="1"/>
  <c r="AJ90" i="1"/>
  <c r="AJ89" i="1"/>
  <c r="AJ88" i="1"/>
  <c r="AJ87" i="1"/>
  <c r="AJ86" i="1"/>
  <c r="AJ85" i="1"/>
  <c r="AJ84" i="1"/>
  <c r="AJ83" i="1"/>
  <c r="AJ82" i="1"/>
  <c r="AJ81" i="1"/>
  <c r="AJ80" i="1"/>
  <c r="AJ79" i="1"/>
  <c r="AJ78" i="1"/>
  <c r="AJ77" i="1"/>
  <c r="AJ76" i="1"/>
  <c r="AJ75" i="1"/>
  <c r="AJ74" i="1"/>
  <c r="AJ73" i="1"/>
  <c r="AJ72" i="1"/>
  <c r="AJ71" i="1"/>
  <c r="AJ70" i="1"/>
  <c r="AJ69" i="1"/>
  <c r="AJ68" i="1"/>
  <c r="AJ67" i="1"/>
  <c r="AJ66" i="1"/>
  <c r="AJ65" i="1"/>
  <c r="AJ64" i="1"/>
  <c r="AJ63" i="1"/>
  <c r="AJ62" i="1"/>
  <c r="AJ61" i="1"/>
  <c r="AJ60" i="1"/>
  <c r="AJ59" i="1"/>
  <c r="AJ58" i="1"/>
  <c r="AJ57" i="1"/>
  <c r="AJ56" i="1"/>
  <c r="AJ55" i="1"/>
  <c r="AJ54" i="1"/>
  <c r="AJ53" i="1"/>
  <c r="AJ52" i="1"/>
  <c r="AJ51" i="1"/>
  <c r="AJ50" i="1"/>
  <c r="AJ49" i="1"/>
  <c r="AJ48" i="1"/>
  <c r="AJ47" i="1"/>
  <c r="AJ46" i="1"/>
  <c r="AJ45" i="1"/>
  <c r="AJ44" i="1"/>
  <c r="AJ43" i="1"/>
  <c r="AJ42" i="1"/>
  <c r="AJ41" i="1"/>
  <c r="AJ40" i="1"/>
  <c r="AJ39" i="1"/>
  <c r="AJ38" i="1"/>
  <c r="AJ37" i="1"/>
  <c r="AJ36" i="1"/>
  <c r="AJ35" i="1"/>
  <c r="AJ34" i="1"/>
  <c r="AJ33" i="1"/>
  <c r="AJ32" i="1"/>
  <c r="AJ31" i="1"/>
  <c r="AJ30" i="1"/>
  <c r="AJ29" i="1"/>
  <c r="AJ28" i="1"/>
  <c r="AJ27" i="1"/>
  <c r="AJ26" i="1"/>
  <c r="AJ25" i="1"/>
  <c r="AJ24" i="1"/>
  <c r="AJ23" i="1"/>
  <c r="AJ22" i="1"/>
  <c r="AJ21" i="1"/>
  <c r="AJ20" i="1"/>
  <c r="AJ19" i="1"/>
  <c r="AJ18" i="1"/>
  <c r="AJ17" i="1"/>
  <c r="AJ16" i="1"/>
  <c r="AJ15" i="1"/>
  <c r="AJ14" i="1"/>
  <c r="AJ13" i="1"/>
  <c r="AJ12" i="1"/>
  <c r="AJ11" i="1"/>
  <c r="AJ10" i="1"/>
  <c r="AJ9" i="1"/>
  <c r="AJ8" i="1"/>
  <c r="AJ7" i="1"/>
  <c r="AJ6" i="1"/>
  <c r="AJ5" i="1"/>
  <c r="AJ4" i="1"/>
  <c r="AJ3" i="1"/>
  <c r="AJ2" i="1"/>
</calcChain>
</file>

<file path=xl/sharedStrings.xml><?xml version="1.0" encoding="utf-8"?>
<sst xmlns="http://schemas.openxmlformats.org/spreadsheetml/2006/main" count="3147" uniqueCount="1646">
  <si>
    <t>Record ID</t>
  </si>
  <si>
    <t>Data Source</t>
  </si>
  <si>
    <t>Official Link Text</t>
  </si>
  <si>
    <t>Official URL</t>
  </si>
  <si>
    <t>Main Data Type / Use</t>
  </si>
  <si>
    <t>Raw Access Level</t>
  </si>
  <si>
    <t>Access Level Standardized</t>
  </si>
  <si>
    <t>Access Burden</t>
  </si>
  <si>
    <t>Primary Category</t>
  </si>
  <si>
    <t>Secondary Categories / Tags</t>
  </si>
  <si>
    <t>Keywords for Search</t>
  </si>
  <si>
    <t>Data Type Standardized</t>
  </si>
  <si>
    <t>Topic Area(s)</t>
  </si>
  <si>
    <t>Population</t>
  </si>
  <si>
    <t>Geography Coverage</t>
  </si>
  <si>
    <t>Geographic Unit</t>
  </si>
  <si>
    <t>Unit of Analysis</t>
  </si>
  <si>
    <t>Individual-level Data?</t>
  </si>
  <si>
    <t>Area-level Data?</t>
  </si>
  <si>
    <t>Longitudinal?</t>
  </si>
  <si>
    <t>Years Available</t>
  </si>
  <si>
    <t>Refresh Frequency</t>
  </si>
  <si>
    <t>Linkage Potential</t>
  </si>
  <si>
    <t>South Carolina Relevance</t>
  </si>
  <si>
    <t>Common Variables / Measures</t>
  </si>
  <si>
    <t>Suggested Use Cases</t>
  </si>
  <si>
    <t>Companion Datasets</t>
  </si>
  <si>
    <t>Limitations / Cautions</t>
  </si>
  <si>
    <t>Data Governance Notes</t>
  </si>
  <si>
    <t>RDCD Consultation Notes</t>
  </si>
  <si>
    <t>Demo Include?</t>
  </si>
  <si>
    <t>Date Verified</t>
  </si>
  <si>
    <t>Verified By</t>
  </si>
  <si>
    <t>Priority</t>
  </si>
  <si>
    <t>Status</t>
  </si>
  <si>
    <t>App Search Text</t>
  </si>
  <si>
    <t>DS-001</t>
  </si>
  <si>
    <t>N3C Data Enclave</t>
  </si>
  <si>
    <t>N3C Data Access (NCATS)</t>
  </si>
  <si>
    <t>https://ncats.nih.gov/research/research-activities/n3c/data-overview/access</t>
  </si>
  <si>
    <t>Large harmonized clinical/EHR data resource, especially useful for COVID-19 and related health outcomes research</t>
  </si>
  <si>
    <t>Controlled/restricted</t>
  </si>
  <si>
    <t>High</t>
  </si>
  <si>
    <t>EHR/clinical</t>
  </si>
  <si>
    <t>Cancer; Genomics/molecular; Synthetic/methods; Renal; N3C; COVID-19; clinical; EHR</t>
  </si>
  <si>
    <t>EHR; electronic health record; clinical; diagnosis: genomics; synthetic; simulation; EHR simulator; fake data; EMR; patient-level; real-world data; claims; expenditures; n3c data enclave; health care utilization/cost; ehr/clinical</t>
  </si>
  <si>
    <t>COVID19; Synthetic; Cancer; Renal</t>
  </si>
  <si>
    <t>Patients contributed by healthcare organizations across the United States</t>
  </si>
  <si>
    <t>United States</t>
  </si>
  <si>
    <t>Other</t>
  </si>
  <si>
    <t>Patient</t>
  </si>
  <si>
    <t>Yes</t>
  </si>
  <si>
    <t>No</t>
  </si>
  <si>
    <t>2018-Present</t>
  </si>
  <si>
    <t>Ongoing/Periodic</t>
  </si>
  <si>
    <t>Demographics; clinical conditions; procedures; medications; laboratory results; encounters; specialty clinic indicators; social determinants of health; in-hospital measures</t>
  </si>
  <si>
    <t>clinical phenotyping; data quality assessment; predictive modeling; collaborative research; data visualization</t>
  </si>
  <si>
    <t>CMS Data; All of Us Research Program; SEER Program; The Cancer Imaging Archive — TCIA; HCUP / HCUPnet;</t>
  </si>
  <si>
    <t>values and classifications may differ between contributing institutions; Coding, claims, and enrollment rules can change over time; restricted files may be needed. Confirm the access tier and licensing terms.</t>
  </si>
  <si>
    <t>Restricted access; expect registration, DUA, DUR, training, and IRB approval requirements</t>
  </si>
  <si>
    <t>Candidate</t>
  </si>
  <si>
    <t>SP</t>
  </si>
  <si>
    <t>Medium</t>
  </si>
  <si>
    <t>Complete</t>
  </si>
  <si>
    <t>DS-002</t>
  </si>
  <si>
    <t>All of Us Research Program</t>
  </si>
  <si>
    <t>Researcher Workbench (All of Us Research Hub)</t>
  </si>
  <si>
    <t>https://www.researchallofus.org/data-tools/workbench/</t>
  </si>
  <si>
    <t>Surveys, EHR, genomics, physical measurements, wearables, social/behavioral factors</t>
  </si>
  <si>
    <t>Registered/controlled</t>
  </si>
  <si>
    <t>EHR; clinical; genomics; surveys; physical measurements; wearable and mobile device data; natural language processing; transcriptomics; All of Us</t>
  </si>
  <si>
    <t>EHR; clinical, electronic health record; genomics; survey; mobile device data; physical measurements; health care utilization/cost; RNA sequencing; natural language processing; NLP; transcriptomics; proteomics; multiomics; clinical notes data; All of Us; all of us research program</t>
  </si>
  <si>
    <t>Survey</t>
  </si>
  <si>
    <t>infectious diseases; mental health and behavioral health; chronic diseases; lifestyle; environmental</t>
  </si>
  <si>
    <t>adults (18+) and are intentionally recruited from diverse and historically underrepresented populations</t>
  </si>
  <si>
    <t>Individual</t>
  </si>
  <si>
    <t>2017-Present</t>
  </si>
  <si>
    <t>demographics; socioeconomic; geographic; EHR-derived variables; mortality; claims; mobility; lifestyle; physical activity; sleep;  genotyping; biomarkers; whole genome sequencing; nutrition; environmental exposures; minute-level metrics; device provenance; gene expression (RNA-seq); proteomics</t>
  </si>
  <si>
    <t>Genomic and Precision medicine; epidemiology and disease outcomes; clinical and translational research; social determinants of health; wearable and mobile health applications; data integration and method development; replication and validation studies</t>
  </si>
  <si>
    <t>MEPS; CMS Data; HCUP / HCUPnet</t>
  </si>
  <si>
    <t>Coding, claims, and enrollment rules can change over time; restricted files may be needed. Confirm the access tier and licensing terms.</t>
  </si>
  <si>
    <t>Registration plus controlled files; application or agreement may be required.</t>
  </si>
  <si>
    <t>EM</t>
  </si>
  <si>
    <t>DS-003</t>
  </si>
  <si>
    <t>SEER Program</t>
  </si>
  <si>
    <t>SEER / SEER*Stat (SEER)</t>
  </si>
  <si>
    <t>https://seer.cancer.gov/</t>
  </si>
  <si>
    <t>U.S. cancer incidence, survival, prevalence, mortality-linked cancer surveillance</t>
  </si>
  <si>
    <t>Registered public-use</t>
  </si>
  <si>
    <t>Cancer</t>
  </si>
  <si>
    <t>SEER; registry; survival; cancer; oncology; incidence; survival</t>
  </si>
  <si>
    <t>SEER; registry; survival; cancer; oncology; incidence; seer program; registry/surveillance</t>
  </si>
  <si>
    <t>Registry/surveillance</t>
  </si>
  <si>
    <t>all reportable cancer cases diagnosed among residents of SEER registry areas</t>
  </si>
  <si>
    <t>1973-Present</t>
  </si>
  <si>
    <t>Ongoing/annual</t>
  </si>
  <si>
    <t>demographics; cancer site and histology; stage and extent of disease; treatment and therapy; survival and follow-up; risk and exposure factors</t>
  </si>
  <si>
    <t>Incidence and survival analyses; disparity studies; biomarker and imaging work</t>
  </si>
  <si>
    <t>N3C; TCIA; CMS; NCI Genomic Data Commons / TCGA; The Cancer Imaging Archive — TCIA</t>
  </si>
  <si>
    <t>May require controlled access or have suppression/privacy rules; registry variables can be limited.</t>
  </si>
  <si>
    <t>Application nad DUA required for some files</t>
  </si>
  <si>
    <t>DS-004</t>
  </si>
  <si>
    <t>Women’s Health Initiative — WHI</t>
  </si>
  <si>
    <t>Women's Health Initiative (WHI)</t>
  </si>
  <si>
    <t>https://www.whi.org/</t>
  </si>
  <si>
    <t>Long-term women’s health cohort and trials; cardiovascular disease, cancer, osteoporosis, aging</t>
  </si>
  <si>
    <t>Women's Health</t>
  </si>
  <si>
    <t>Aging; Cardiovascular Disease; Cancer; Osteoporosis; Cohort; Longitudinal; Epidemiology; Chronic Disease</t>
  </si>
  <si>
    <t>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t>
  </si>
  <si>
    <t xml:space="preserve">population heatlh; chronic diseases; non-infectious diseases; diabetes; cancer; cardiovascular;  </t>
  </si>
  <si>
    <t>Postmenopausal women aged 50–79; recruited from 40 clinical centers across the United States</t>
  </si>
  <si>
    <t>1990s - Present</t>
  </si>
  <si>
    <t>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t>
  </si>
  <si>
    <t>Women's health; aging; cardiovascular disease; cancer epidemiology; osteoporosis and fracture research; longitudinal cohort analyses; biomarker and genomics studies; mortality and survival analyses; chronic disease prevention</t>
  </si>
  <si>
    <t>CMS Medicare Claims; National Death Index (NDI); dbGaP; TOPMed; ACS; AHRF</t>
  </si>
  <si>
    <t>Limited South Carolina representation (~262 active participants); restricted-access data requiring proposal review, approvals, and applicable IRB/data use agreements;</t>
  </si>
  <si>
    <t>Submit project/paper proposal to WHI committee; DUA required for data.</t>
  </si>
  <si>
    <t>NS</t>
  </si>
  <si>
    <t>DS-005</t>
  </si>
  <si>
    <t>BioLINCC</t>
  </si>
  <si>
    <t>NHLBI BioLINCC (BioLINCC)</t>
  </si>
  <si>
    <t>https://biolincc.nhlbi.nih.gov/home/</t>
  </si>
  <si>
    <t>NHLBI clinical trial and epidemiologic study datasets and biospecimens</t>
  </si>
  <si>
    <t>Clinical trials</t>
  </si>
  <si>
    <t>Cohort studies; Biospecimens; Genomics; Cardiovascular disease; Lung disease; Blood disorders; NHLBI; Data sharing; Secondary analysis</t>
  </si>
  <si>
    <t xml:space="preserve">Cohort studies; Biospecimens; Genomics; Cardiovascular disease; Lung disease; Blood disorders; NHLBI; </t>
  </si>
  <si>
    <t>Cohort/longitudinal</t>
  </si>
  <si>
    <t>Cardiovascular Disease; Pulmonary Disease; Hematology; molecular medicine</t>
  </si>
  <si>
    <t>Participants enrolled in clinical trials and research studies across multiple disease areas.</t>
  </si>
  <si>
    <t>Unknown</t>
  </si>
  <si>
    <t>Varies by study</t>
  </si>
  <si>
    <t>Irregular</t>
  </si>
  <si>
    <t>Demographics; Clinical outcomes; Laboratory measurements; Biospecimen characterization data; Cardiovascular risk factors; Pulmonary function measures; Hematologic measures; Medication use; Study endpoints; Longitudinal follow-up measures</t>
  </si>
  <si>
    <t>Demographics; Laboratory measurements; Biospecimen characterization data; Cardiovascular risk factors; Pulmonary function measures; Hematologic measures; Medication use; Longitudinal follow-up measures</t>
  </si>
  <si>
    <t>dbGaP; NHLBI BioLINCC Biospecimen Collections</t>
  </si>
  <si>
    <t>Restricted access requiring registration, proposal review, IRB documentation, RMDA approval; study availability and variables vary across collections; datasets are generally phenotypic; not a population-representative database.</t>
  </si>
  <si>
    <t>Registration required; project protocol submission; IRB/ethics approval or exemption documentation required for most studies; Research Materials Distribution Agreement (RMDA) required prior to data release</t>
  </si>
  <si>
    <t>Low</t>
  </si>
  <si>
    <t>DS-006</t>
  </si>
  <si>
    <t>Framingham Heart Study</t>
  </si>
  <si>
    <t>FHS / BioLINCC (BioLINCC)</t>
  </si>
  <si>
    <t>Longitudinal cardiovascular cohort data, clinical measures, genetic and epidemiologic data</t>
  </si>
  <si>
    <t>Chronic disease</t>
  </si>
  <si>
    <t>Cardiovascular disease; Epidemiology; Longitudinal; Aging; Risk factors; Genomics; Biomarkers; Cohort study</t>
  </si>
  <si>
    <t>Cardiovascular disease; Epidemiology; Longitudinal; Aging; Risk factors; Genomics; Biomarkers; Cohort study; environmental factors; chronic diseases; non-infectious diseases</t>
  </si>
  <si>
    <t xml:space="preserve">Cardiovascular Disease; chronic diseases; </t>
  </si>
  <si>
    <t>multigenerational study starting from 1948, sampled men and women from Framingham, Massachuesetts. Sampling phases expanded to future generations (spouses &amp; offspring) to study additional factors to cardiovascular health and other diseases.</t>
  </si>
  <si>
    <t>1948-Present</t>
  </si>
  <si>
    <t>ongoing/Periodic</t>
  </si>
  <si>
    <t>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t>
  </si>
  <si>
    <t>Cardiovascular disease epidemiology; longitudinal cohort analyses; chronic disease risk factor research; stroke and cerebrovascular outcomes; aging research; biomarker and genomics studies; mortality and survival analyses; predictive modeling</t>
  </si>
  <si>
    <t>BioLINCC; dbGaP</t>
  </si>
  <si>
    <t>Restricted access requiring proposal approval; not South Carolina-specific; geographic/area-level data availability unclear; generalizability may be limited; variables vary by cohort and exam cycle.</t>
  </si>
  <si>
    <t>Restricted access; proposal approval and data request required; IRB/ethics documentation and data use agreement/RMDA may be required.</t>
  </si>
  <si>
    <t>DS-007</t>
  </si>
  <si>
    <t>Health and Retirement Study — HRS</t>
  </si>
  <si>
    <t>HRS (Health and Retirement Study)</t>
  </si>
  <si>
    <t>https://hrs.isr.umich.edu/</t>
  </si>
  <si>
    <t>Longitudinal aging, retirement, health, cognition, disability, economics</t>
  </si>
  <si>
    <t>Registered public-use plus restricted files</t>
  </si>
  <si>
    <t>Public-use plus restricted files</t>
  </si>
  <si>
    <t>Aging</t>
  </si>
  <si>
    <t>aging; older adults; longitudinal; multimorbidity; cognition; health trajectories; retirement; family</t>
  </si>
  <si>
    <t>aging; older adults; longitudinal; multimorbidity; cognition; health trajectories; add health; cohort/longitudinal; retirement plans; family</t>
  </si>
  <si>
    <t>Aging; Health; Retirement</t>
  </si>
  <si>
    <t>approximately 20,000 U.S. adults aged 50 and older, surveyed every two years</t>
  </si>
  <si>
    <t>1992-Present</t>
  </si>
  <si>
    <t>Ongoing/Annual</t>
  </si>
  <si>
    <t>Demographics; health status; symptoms; health behaviors; ADL/IADL difficulty and dependence; mobility; functional limitations; falls; incontinence; cognition; cognitive tests; work related disability; wealth; work history; socioeconomic status; grip strength; gait speed; weight; biomakers</t>
  </si>
  <si>
    <t>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t>
  </si>
  <si>
    <t>Add Health; CMS</t>
  </si>
  <si>
    <t>May be cohort-specific and not fully generalizable; check sampling (African-Americans and Hispanics are oversampled), follow-up, and restricted tiers. Confirm the access tier and licensing terms.</t>
  </si>
  <si>
    <t>Resitration for public data required; restricted data only available through RDA</t>
  </si>
  <si>
    <t>DS-008</t>
  </si>
  <si>
    <t>Add Health</t>
  </si>
  <si>
    <t>Add Health (Add Health)</t>
  </si>
  <si>
    <t>https://addhealth.cpc.unc.edu/</t>
  </si>
  <si>
    <t>Longitudinal adolescent-to-adult health, behavior, social environment, cognition, psychosocial</t>
  </si>
  <si>
    <t>aging, longitudinal; cognition; health trajectories</t>
  </si>
  <si>
    <t>aging; longitudinal; cognition; health trajectories; add health; cohort/longitudinal; behavioral health</t>
  </si>
  <si>
    <t>20,000+ U.S. adolescents who were in grades 7-12 during the 1994-95 school year, followed into adulthood across six waves of data collection</t>
  </si>
  <si>
    <t>1994–95 through 2022–25 (ongoing). Six waves of data collection have been completed: Wave I (1994–95), Wave II (1996), Wave III (2001–02), Wave IV (2008–09), Wave V (2016–18), and Wave VI (2022–25)</t>
  </si>
  <si>
    <t>Demographics; school and academic context; social network and relational data; biomarker data; genetic data; health and risk behaviors; psychosocial contructs; family structure; neighborhood and community; socioeconomic status; mover distance</t>
  </si>
  <si>
    <t>education and youth development; health and well-being; social and behavioral sciences</t>
  </si>
  <si>
    <t>CMS; NHANES; HRS</t>
  </si>
  <si>
    <t>May be cohort-specific and not fully generalizable; check sampling, follow-up, and restricted tiers. Confirm the access tier and licensing terms.</t>
  </si>
  <si>
    <t>Registration required for public-use data; contract, data security plan, and IRB approval required for restricted-use data</t>
  </si>
  <si>
    <t>DS-009</t>
  </si>
  <si>
    <t>UK Biobank</t>
  </si>
  <si>
    <t>UK Biobank (UK Biobank)</t>
  </si>
  <si>
    <t>https://www.ukbiobank.ac.uk/</t>
  </si>
  <si>
    <t>Large cohort with health, lifestyle, imaging, genetics, linked medical records</t>
  </si>
  <si>
    <t>Genomics/molecular</t>
  </si>
  <si>
    <t>Aging, EHR/clinical; Imaging; Chronic disease; Cancer; Mental health; SDOH/geospatial</t>
  </si>
  <si>
    <t>uk biobank; cohort/longitudinal; genomics; genetics; molecular epidemiology; hospital records; aging; chronic disease; cancer; medical imaging; imaging biomarkers; mnetal health; cognitive function; physical activity; nutrition; sleep; social determinants of health</t>
  </si>
  <si>
    <t>Genomics/molecular; Aging, EHR/clinical; Imaging; Chronic disease; Cancer; Mental health; SDOH/geospatial</t>
  </si>
  <si>
    <t>500,000 participants aged 40–69 years at enrollment</t>
  </si>
  <si>
    <t>Global/international</t>
  </si>
  <si>
    <t>2006-Present</t>
  </si>
  <si>
    <t>Demographics; lifestyle and behavior (smoking history, alcohol consumption, diet, sleep, ...), health measurements (blood pressure, blood and urine tests, ECG, …), genetic data, imaging and functionla data, questionaire and survey data (mental health, SDOH, health behaviors, ...)</t>
  </si>
  <si>
    <t>disease etiology and risk factor studies, genetic and genomic research, drug discovery and target identification, biomarker discovery and validation, longitudinal/cohort studies, public health, epidemiology, cross-disease analyses</t>
  </si>
  <si>
    <t>All of Us Research Program, HRS, CMS, ADNI</t>
  </si>
  <si>
    <t>May be cohort-specific and not fully generalizable; check sampling, follow-up, and restricted tiers. Confirm the access tier and licensing terms</t>
  </si>
  <si>
    <t>Registration, approval, and fees required for access</t>
  </si>
  <si>
    <t>DS-010</t>
  </si>
  <si>
    <t>ADNI</t>
  </si>
  <si>
    <t>Alzheimer’s Disease Neuroimaging Initiative (ADNI)</t>
  </si>
  <si>
    <t>https://adni.loni.usc.edu/</t>
  </si>
  <si>
    <t>Alzheimer’s clinical, imaging, genetic, biomarker, and longitudinal data</t>
  </si>
  <si>
    <t>Imaging</t>
  </si>
  <si>
    <t>aging; genomics/molecular; mental health; clinical trials; cognition</t>
  </si>
  <si>
    <t>aging; genomics/molecular; mental health; clinical trials; cognition; adni; cohort/longitudinal</t>
  </si>
  <si>
    <t>Imaging; Genomics/molecular; Mental health; Clinical trials</t>
  </si>
  <si>
    <t>Thousands of adults age ~55–90</t>
  </si>
  <si>
    <t>2004-Present</t>
  </si>
  <si>
    <t>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t>
  </si>
  <si>
    <t>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t>
  </si>
  <si>
    <t>UK Biobank; All of Us Research Program; Health and Retirement Study (HRS); dbGaP; NHANES; ACS; CDC PLACES; ClinicalTrials.gov</t>
  </si>
  <si>
    <t>Registration plus controlled files; application  required.</t>
  </si>
  <si>
    <t>DS-011</t>
  </si>
  <si>
    <t>NHANES</t>
  </si>
  <si>
    <t>NHANES Data (CDC)</t>
  </si>
  <si>
    <t>https://wwwn.cdc.gov/nchs/nhanes/Default.aspx</t>
  </si>
  <si>
    <t>U.S. health, nutrition, physical exams, laboratory measures, biospecimens</t>
  </si>
  <si>
    <t>Open/public</t>
  </si>
  <si>
    <t>Food/nutrition; Environmental exposure; Genomics/molecular; Health care utilization/cost; chronic disease; risk factors; prevalence; health behaviors; surveillance</t>
  </si>
  <si>
    <t>chronic disease; risk factors; prevalence; health behaviors; surveillance; nhanes; survey</t>
  </si>
  <si>
    <t>Food/nutrition; Environmental exposure; Genomics/molecular; Health care utilization/cost; chronic disease</t>
  </si>
  <si>
    <t>~5,000 participants/year, civilian, noninstitutionalized U.S. population of all ages</t>
  </si>
  <si>
    <t>1999-Present</t>
  </si>
  <si>
    <t>Annual/Periodic</t>
  </si>
  <si>
    <t>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t>
  </si>
  <si>
    <t>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t>
  </si>
  <si>
    <t>BRFSS; NHIS; MEPS; CDC PLACES</t>
  </si>
  <si>
    <t>Cross-sectional design limits causal inference; self-reported measures may introduce recall bias; some subpopulations have small sample sizes; complex survey weights and design must be accounted for in analyses</t>
  </si>
  <si>
    <t>Open/public source; verify citation, download, and data user agreement.</t>
  </si>
  <si>
    <t>DS-012</t>
  </si>
  <si>
    <t>NHIS</t>
  </si>
  <si>
    <t>NHIS Data (CDC)</t>
  </si>
  <si>
    <t>https://www.cdc.gov/nchs/nhis/index.html</t>
  </si>
  <si>
    <t>U.S. household health survey; health status, access, utilization, conditions</t>
  </si>
  <si>
    <t>Health care utilization/cost; Mental health; Maternal/child health; Substance use; HIV/infectious disease; SDOH/geospatial; Aging; chronic disease; risk factors; prevalence; health behaviors; surveillance</t>
  </si>
  <si>
    <t>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t>
  </si>
  <si>
    <t>Chronic disease; Health care utilization/cost; Mental health; Maternal/child health; Substance use; HIV/infectious disease; SDOH/geospatial; Aging</t>
  </si>
  <si>
    <t>civilian, noninstitutionalized U.S. population of all ages</t>
  </si>
  <si>
    <t>1957-Present</t>
  </si>
  <si>
    <t>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t>
  </si>
  <si>
    <t>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t>
  </si>
  <si>
    <t>CMS; NHANES; MEPS; ACS</t>
  </si>
  <si>
    <t>Primarily cross-sectional data; many measures are self-reported and subject to recall bias; limited clinical/laboratory data compared with NHANES; some subgroup analyses may be underpowered; complex survey design requires weighting</t>
  </si>
  <si>
    <t>DS-013</t>
  </si>
  <si>
    <t>BRFSS</t>
  </si>
  <si>
    <t>BRFSS Annual Data (CDC)</t>
  </si>
  <si>
    <t>https://www.cdc.gov/brfss/annual_data/annual_data.htm</t>
  </si>
  <si>
    <t>State-level behavioral risk factors, chronic disease, preventive care, health behaviors</t>
  </si>
  <si>
    <t>Survey; Surveillance; Health behaviors; Risk factors; Preventive care; Mental Health;</t>
  </si>
  <si>
    <t>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t>
  </si>
  <si>
    <t>Chronic disease; Health behaviors; Preventive care; Mental health; Substance use; Tobacco use; Alcohol use; Physical activity; Nutrition; Obesity; Diabetes; Hypertension; Health care access; Immunization; Disability; SDOH</t>
  </si>
  <si>
    <t>noninsitionalized US citizens +18 years of age</t>
  </si>
  <si>
    <t>State</t>
  </si>
  <si>
    <t>Varies by indicator, geography, module, and year; annual public-use files generally available from 1970s and onward</t>
  </si>
  <si>
    <t>Annual; specific modules/indicators may vary by year and state.</t>
  </si>
  <si>
    <t>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t>
  </si>
  <si>
    <t>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t>
  </si>
  <si>
    <t>CDC PLACES; NHIS; NHANES; MEPS; ACS; CDC WONDER; County Health Rankings; CDC/ATSDR SVI</t>
  </si>
  <si>
    <t>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t>
  </si>
  <si>
    <t>Open/public source; no registration or application required for annual public-use files; verify citation, documentation, survey year, and weighting guidance before analysis.</t>
  </si>
  <si>
    <t>DS-014</t>
  </si>
  <si>
    <t>YRBSS / YRBS</t>
  </si>
  <si>
    <t>CDC YRBSS Data (CDC)</t>
  </si>
  <si>
    <t>https://www.cdc.gov/yrbs/index.html</t>
  </si>
  <si>
    <t>Youth health behaviors, substance use, injury, sexual health, diet, activity</t>
  </si>
  <si>
    <t>Maternal/child health</t>
  </si>
  <si>
    <t>Mental health; Substance use; Food/nutrition; HIV/infectious disease; Chronic disease; Health care utilization/cost; SDOH/geospatial</t>
  </si>
  <si>
    <t>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t>
  </si>
  <si>
    <t>Mental health; Substance use; Tobacco and vaping; Alcohol use; Sexual health and HIV risk; Nutrition and dietary behaviors; Physical activity; Obesity; Violence and bullying; Injury prevention and safety behaviors; School health; Health disparities among youth</t>
  </si>
  <si>
    <t>high school students in grades 9–12 attending public and private schools</t>
  </si>
  <si>
    <t>1991-Present</t>
  </si>
  <si>
    <t>Age; sex; grade level; race/ethnicity; tobacco and vaping use; alcohol and drug use; depressive symptoms and suicidal behaviors; sexual behaviors; physical activity; dietary behaviors; height and weight (BMI); bullying and violence exposure; injury and safety behaviors</t>
  </si>
  <si>
    <t>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t>
  </si>
  <si>
    <t>BRFSS; NHIS; Add Health; ACS</t>
  </si>
  <si>
    <t>School-based sample excludes most youth not attending school; self-reported behaviors may be under- or over-reported; primarily cross-sectional data; limited clinical and health outcome measures; some state/local surveys are not comparable across years</t>
  </si>
  <si>
    <t>Open/public source; verify citation and download</t>
  </si>
  <si>
    <t>DS-015</t>
  </si>
  <si>
    <t>CDC WONDER</t>
  </si>
  <si>
    <t>CDC WONDER (CDC WONDER)</t>
  </si>
  <si>
    <t>https://wonder.cdc.gov/</t>
  </si>
  <si>
    <t>Mortality, natality, cancer, population, infectious disease, environmental health queries</t>
  </si>
  <si>
    <t>Maternal/child health; HIV/infectious disease; Substance use; Mental health; SDOH/geospatial; Health care utilization/cost; Environmental exposure; Cancer; public health</t>
  </si>
  <si>
    <t>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t>
  </si>
  <si>
    <t>Reports/dashboard</t>
  </si>
  <si>
    <t>Mortality and causes of death; Chronic disease burden; Injury and overdose deaths; Maternal and infant health; Infectious diseases; Life expectancy; Health disparities; Geographic variation in health outcomes; Public health surveillance; Population health trends</t>
  </si>
  <si>
    <t>US community level database from numerous public health sources (AIDS, Births, Cancer, Natality, etc)</t>
  </si>
  <si>
    <t>County</t>
  </si>
  <si>
    <t>Report/dashboard</t>
  </si>
  <si>
    <t>Varies by source and reporting system</t>
  </si>
  <si>
    <t>Cause of death; Age; Sex; Race/ethnicity; Year of death; Geographic location (state; county); Mortality counts; Mortality rates (crude; age-adjusted); Population estimates; Births and fertility measures; Life expectancy indicators</t>
  </si>
  <si>
    <t>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t>
  </si>
  <si>
    <t>ACS; CDC PLACES, BRFSS</t>
  </si>
  <si>
    <t>potential misclassification in death certificate records; ecological analyses can lead to ecological fallacy; small-area estimates may be unstable for rare outcomes; changes in coding practices (e.g., ICD revisions) can affect trend comparisons over time</t>
  </si>
  <si>
    <t>DS-016</t>
  </si>
  <si>
    <t>CDC Open Data Portal</t>
  </si>
  <si>
    <t>CDC Data (Data.CDC.gov)</t>
  </si>
  <si>
    <t>https://data.cdc.gov/</t>
  </si>
  <si>
    <t>Broad CDC public health datasets and dashboards</t>
  </si>
  <si>
    <t>Public health surveillance; Chronic disease; Infectious disease; Environmental health; Mental health; Injury; Vaccinations; Disability; Tobacco use; Policy surveillance; Dashboards; Open data</t>
  </si>
  <si>
    <t>CDC; public health; surveillance; open data; chronic disease; infectious disease; environmental health; vaccinations; tobacco; injury; disability; mental health; dashboards; datasets; visualization; API; state; county</t>
  </si>
  <si>
    <t>Public health surveillance; Chronic disease; Infectious disease; Environmental health; Vaccinations; Disability; Injury and violence; Mental health; Tobacco use; Policy surveillance; Global health</t>
  </si>
  <si>
    <t>Varies by dataset; primarily U.S. public health populations, cases, events, jurisdictions, and health indicators</t>
  </si>
  <si>
    <t>Varies by dataset</t>
  </si>
  <si>
    <t>Irregular / varies by dataset</t>
  </si>
  <si>
    <t>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t>
  </si>
  <si>
    <t>Public health surveillance; open data discovery; state and national trend analyses; dashboard development; chronic disease and infectious disease monitoring; vaccination and tobacco surveillance; environmental health analyses; data visualization and API-based public health research</t>
  </si>
  <si>
    <t>CDC WONDER; BRFSS; CDC PLACES; NHANES; NHIS; ACS; CDC/ATSDR SVI; HealthData.gov</t>
  </si>
  <si>
    <t>Portal contains heterogeneous datasets with different methods, years, geographies, update schedules, and suppression rules; variable definitions and data quality vary by dataset; some datasets are dashboards or aggregated summaries rather than analysis-ready microdata.</t>
  </si>
  <si>
    <t>Open/public portal; no registration generally required for public datasets, though account features may support saved visualizations; verify dataset-specific documentation, citation guidance, update date, API terms, and suppression/privacy notes.</t>
  </si>
  <si>
    <t>DS-017</t>
  </si>
  <si>
    <t>CDC PLACES</t>
  </si>
  <si>
    <t>PLACES Data Portal (CDC)</t>
  </si>
  <si>
    <t>https://www.cdc.gov/places/index.html</t>
  </si>
  <si>
    <t>County, city, census tract, and ZIP-level chronic disease and health behavior estimates</t>
  </si>
  <si>
    <t>Chronic disease; Health behaviors; Preventive care; Disability; Health status; Health-related social needs; SDOH; Small-area estimates; Geospatial; BRFSS-derived; ACS-derived</t>
  </si>
  <si>
    <t>diabetes; obesity; hypertension; cardiovascular; asthma; COPD; cancer; depression; stroke; physical activity; smoking; preventive care; disability; health status; social determinants of health; SDOH; county; census tract; ZIP/ZCTA; small-area estimates; BRFSS; ACS</t>
  </si>
  <si>
    <t>Geospatial/area-level</t>
  </si>
  <si>
    <t>Chronic disease; Health behaviors; Preventive care; Disability; Health status; Health-related social needs; SDOH; Population health; Local public health</t>
  </si>
  <si>
    <t>U.S. adult populations aged 18+ represented through model-based local area estimates</t>
  </si>
  <si>
    <t>Census Tract</t>
  </si>
  <si>
    <t>Census tract</t>
  </si>
  <si>
    <t>Varies by release and measure; PLACES releases include current and prior data, with 500 Cities data for 2016–2019</t>
  </si>
  <si>
    <t>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t>
  </si>
  <si>
    <t>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t>
  </si>
  <si>
    <t>BRFSS; ACS; CDC/ATSDR SVI; County Health Rankings; USDA Food Environment Atlas; USDA RUCC; CDC WONDER; SC DPH</t>
  </si>
  <si>
    <t>Model-based estimates rather than direct survey measurements; uncertainty should be considered when comparing small areas; measures and methods may vary by release; not individual-level data; some estimates may be suppressed or unstable for small populations.</t>
  </si>
  <si>
    <t>Open/public source; no registration required; verify release year, measure definitions, confidence intervals, geography level, citation guidance, and API/download documentation.</t>
  </si>
  <si>
    <t>DS-018</t>
  </si>
  <si>
    <t>CDC/ATSDR Social Vulnerability Index — SVI</t>
  </si>
  <si>
    <t>SVI Data Download (ATSDR)</t>
  </si>
  <si>
    <t>https://www.atsdr.cdc.gov/place-health/php/svi/index.html</t>
  </si>
  <si>
    <t>County and census tract social vulnerability measures</t>
  </si>
  <si>
    <t>SDOH/geospatial</t>
  </si>
  <si>
    <t>Environmental exposure; Chronic disease; Maternal/child health; Mental health; HIV/infectious disease; Health care utilization/cost; Rurality; South Carolina/local data; SVI; vulnerability; census tract; social determinants; poverty; income; education</t>
  </si>
  <si>
    <t>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t>
  </si>
  <si>
    <t>Social determinants of health; Community vulnerability; Health equity and disparities; Socioeconomic disadvantage; Environmental justice; Disaster preparedness and recovery; Access to transportation and housing; Vulnerable populations; Geographic health disparities; Community resilience</t>
  </si>
  <si>
    <t>Comprised of US communities at the census tract and county levels</t>
  </si>
  <si>
    <t>2000-Present</t>
  </si>
  <si>
    <t>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t>
  </si>
  <si>
    <t>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t>
  </si>
  <si>
    <t>ACS; CDC PLACES; County Health Rankings &amp; Roadmaps; NHIS; NHANES; BRFSS; CDC WONDER; CDC Environmental Public Health Tracking Network; EPA Air Quality System (AQS); All of Us Research Program</t>
  </si>
  <si>
    <t>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t>
  </si>
  <si>
    <t>Publicly available data; derived from U.S. Census/ACS sources; no individual-level identifiers; no IRB typically required for standalone use; may be linked with restricted datasets subject to additional data use agreements and privacy requirements</t>
  </si>
  <si>
    <t>DS-019</t>
  </si>
  <si>
    <t>U.S. Census American Community Survey — ACS</t>
  </si>
  <si>
    <t>ACS API (Census.gov)</t>
  </si>
  <si>
    <t>https://www.census.gov/programs-surveys/acs/data/data-via-api.html</t>
  </si>
  <si>
    <t>Demographic, socioeconomic, housing, insurance, education, employment variables</t>
  </si>
  <si>
    <t xml:space="preserve">Rurality; South Carolina/local data; Aging; Maternal/child health, mental health, chronic disease </t>
  </si>
  <si>
    <t>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t>
  </si>
  <si>
    <t>SDOH/geospatial; Rurality; South Carolina/local data; Aging; Maternal/child health; Chronic disease; Mental health; Health care utilization/cost</t>
  </si>
  <si>
    <t>economic, social, demographic, housing data - areas/regions with populations of +65,000 for 1 Year ACS or less than 20,000 for 5 Year ACS</t>
  </si>
  <si>
    <t>2005-Present</t>
  </si>
  <si>
    <t>Annual/periodic</t>
  </si>
  <si>
    <t>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t>
  </si>
  <si>
    <t>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t>
  </si>
  <si>
    <t>CDC PLACES; County Health Rankings &amp; Roadmaps; CDC/ATSDR Social Vulnerability Index (SVI); AHRQ SDOH Database; HRSA Area Health Resources Files (AHRF)</t>
  </si>
  <si>
    <t>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t>
  </si>
  <si>
    <t>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t>
  </si>
  <si>
    <t>DS-020</t>
  </si>
  <si>
    <t>County Health Rankings &amp; Roadmaps</t>
  </si>
  <si>
    <t>County Health Rankings Data (County Health Rankings &amp; Roadmaps)</t>
  </si>
  <si>
    <t>https://www.countyhealthrankings.org/health-data</t>
  </si>
  <si>
    <t>County-level health outcomes, health factors, social and economic indicators</t>
  </si>
  <si>
    <t>Health care utilization/cost; Rurality; Chronic disease; Maternal/child health; Mental health; Substance use; South Carolina/local data</t>
  </si>
  <si>
    <t>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t>
  </si>
  <si>
    <t>SDOH/geospatial; Chronic disease; Mental health; Substance use; Maternal/child health; Health care utilization/cost; Rurality</t>
  </si>
  <si>
    <t>Community level data, as well as disaggregated data to examine racialized trends or patterns, snapshots of county health before yearly measurements conclude</t>
  </si>
  <si>
    <t>County-level</t>
  </si>
  <si>
    <t>Country</t>
  </si>
  <si>
    <t>2010-Present</t>
  </si>
  <si>
    <t>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t>
  </si>
  <si>
    <t>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t>
  </si>
  <si>
    <t>U.S. Census American Community Survey (ACS); CDC PLACES; CDC/ATSDR Social Vulnerability Index (SVI); AHRQ SDOH Database; HRSA Area Health Resources Files (AHRF)</t>
  </si>
  <si>
    <t>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t>
  </si>
  <si>
    <t>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t>
  </si>
  <si>
    <t>DS-021</t>
  </si>
  <si>
    <t>AHRQ SDOH Database</t>
  </si>
  <si>
    <t>AHRQ SDOH Data &amp; Analytics (AHRQ)</t>
  </si>
  <si>
    <t>https://www.ahrq.gov/sdoh/index.html</t>
  </si>
  <si>
    <t>Linkable social determinants of health variables from federal and public sources</t>
  </si>
  <si>
    <t>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t>
  </si>
  <si>
    <t>SDOH/geospatial; Health care utilization/cost; Rurality; Chronic disease; Mental health; Maternal/child health; Health equity</t>
  </si>
  <si>
    <t>A curated collection of US community-level social determinants of health indicators—including demographic, economic, educational, housing, environmental, and healthcare access measures - compiled from many data sources</t>
  </si>
  <si>
    <t>2009-2023</t>
  </si>
  <si>
    <t>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t>
  </si>
  <si>
    <t>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t>
  </si>
  <si>
    <t>U.S. Census American Community Survey (ACS); County Health Rankings &amp; Roadmaps; CDC PLACES; CDC/ATSDR Social Vulnerability Index (SVI)</t>
  </si>
  <si>
    <t>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t>
  </si>
  <si>
    <t>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t>
  </si>
  <si>
    <t>DS-022</t>
  </si>
  <si>
    <t>HRSA Area Health Resources Files — AHRF</t>
  </si>
  <si>
    <t>HRSA AHRF (AHRF)</t>
  </si>
  <si>
    <t>https://ahrf.hrsa.gov/ALLVARs_list.asp</t>
  </si>
  <si>
    <t>County, state, and national health workforce, facilities, population, economics</t>
  </si>
  <si>
    <t>Health care utilization/cost</t>
  </si>
  <si>
    <t>SDOH/geospatial; Rurality; Chronic disease; Maternal/child health; Mental health; Substance use; South Carolina/local data</t>
  </si>
  <si>
    <t>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t>
  </si>
  <si>
    <t>Health care utilization/cost; SDOH/geospatial; Rurality; Health services research; Healthcare workforce; Healthcare access; Health disparities</t>
  </si>
  <si>
    <t>Aggregated data on health professions, facilities, population demgraphics, and hospital utilization/expenditure (6000 variables) at geographic levels</t>
  </si>
  <si>
    <t>1979-Present</t>
  </si>
  <si>
    <t>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t>
  </si>
  <si>
    <t>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t>
  </si>
  <si>
    <t>U.S. Census American Community Survey (ACS); AHRQ SDOH Database; County Health Rankings &amp; Roadmaps; CDC PLACES; CMS Data</t>
  </si>
  <si>
    <t>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t>
  </si>
  <si>
    <t>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t>
  </si>
  <si>
    <t>DS-023</t>
  </si>
  <si>
    <t>MEPS</t>
  </si>
  <si>
    <t>AHRQ MEPS Public Use Files (Medical Expenditure Panel Survey)</t>
  </si>
  <si>
    <t>https://meps.ahrq.gov/mepsweb/data_stats/download_data_files.jsp</t>
  </si>
  <si>
    <t>Health care cost, utilization, insurance, access, expenditures</t>
  </si>
  <si>
    <t>Survey; Health care utilization; Health expenditures; Health insurance; Access to care; Out-of-pocket spending; Medical providers; Employers; Health status; Chronic conditions; Prescription medicines; Disparities</t>
  </si>
  <si>
    <t>utilization; cost; expenditure; insurance; access; provider; enrollment; payment; quality; out-of-pocket spending; medical care; health services; prescription medicines; health status; chronic conditions; disparities; MEPS; AHRQ; survey</t>
  </si>
  <si>
    <t>Health care utilization; Health care costs; Health insurance coverage; Access to care; Out-of-pocket spending; Medical expenditures; Prescription medicines; Health status; Chronic disease; Health disparities</t>
  </si>
  <si>
    <t>U.S. civilian noninstitutionalized population</t>
  </si>
  <si>
    <t>1996-Present</t>
  </si>
  <si>
    <t>Annual</t>
  </si>
  <si>
    <t>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t>
  </si>
  <si>
    <t>Health care utilization and cost analyses; insurance coverage studies; out-of-pocket spending research; access to care analyses; prescription drug expenditure studies; chronic disease cost burden research; health disparities research; policy evaluation; national trend analyses</t>
  </si>
  <si>
    <t>NHIS; BRFSS; NHANES; CMS Data; HCUP / HCUPnet; ACS; CDC PLACES</t>
  </si>
  <si>
    <t>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t>
  </si>
  <si>
    <t>Open/public source; no registration required for public-use files; verify file type, survey component, documentation, codebook, weights, variance estimation guidance, and citation requirements before analysis.</t>
  </si>
  <si>
    <t>DS-024</t>
  </si>
  <si>
    <t>HCUP / HCUPnet</t>
  </si>
  <si>
    <t>AHRQ HCUP (HCUP-US)</t>
  </si>
  <si>
    <t>https://hcup-us.ahrq.gov/</t>
  </si>
  <si>
    <t>Hospital inpatient, emergency department, ambulatory surgery, cost and utilization data</t>
  </si>
  <si>
    <t>Public query tools; full datasets restricted/purchased</t>
  </si>
  <si>
    <t>Public query plus restricted/purchased</t>
  </si>
  <si>
    <t>Claims/payment/provider</t>
  </si>
  <si>
    <t>Hospital care; Inpatient care; Emergency department; Ambulatory surgery; Health care utilization; Health care costs; Charges; Quality; Outcomes; All-payer; Administrative data; Patient encounters; State databases; National databases</t>
  </si>
  <si>
    <t>utilization; cost; hospital; inpatient; emergency department; ambulatory surgery; discharge; all-payer; charges; quality; outcomes; access; readmissions; patient encounters; administrative data; NIS; KID; NEDS; NRD; SID; SEDD; SASD; HCUPnet</t>
  </si>
  <si>
    <t>Claims/payment</t>
  </si>
  <si>
    <t>Health care utilization; Hospital care; Inpatient stays; Emergency department visits; Ambulatory surgery; Readmissions; Health care costs and charges; Health care quality; Patient outcomes; Access to care</t>
  </si>
  <si>
    <t>Patients with hospital-based encounters in participating U.S. community hospitals and related care settings</t>
  </si>
  <si>
    <t>1988-Present; varies by indicator and state;</t>
  </si>
  <si>
    <t>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t>
  </si>
  <si>
    <t>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t>
  </si>
  <si>
    <t>NIS; KID; NASS; NEDS; NRD; SID; SASD; SEDD; HCUPnet; HCUP Fast Stats</t>
  </si>
  <si>
    <t>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t>
  </si>
  <si>
    <t>Public HCUP tools are available for query; full HCUP databases require application/purchase, completion of HCUP data use training, and a data use agreement; state database availability and restrictions vary by partner organization.</t>
  </si>
  <si>
    <t>Completed</t>
  </si>
  <si>
    <t>DS-025</t>
  </si>
  <si>
    <t>CMS Data</t>
  </si>
  <si>
    <t>CMS Data (CMS Data)</t>
  </si>
  <si>
    <t>https://data.cms.gov/</t>
  </si>
  <si>
    <t>Medicare, Medicaid, provider, payment, quality, enrollment, public-use files</t>
  </si>
  <si>
    <t>Open/public plus restricted files</t>
  </si>
  <si>
    <t>Open plus controlled data</t>
  </si>
  <si>
    <t>Health care utilization/cost; Medicare; Medicaid; Claims; Payment; Provider; Quality; Enrollment; Hospital; Nursing homes; Insurance; Public reporting</t>
  </si>
  <si>
    <t>claims; Medicare; Medicaid; CHIP; provider; payment; enrollment; utilization; quality; beneficiaries; hospital; nursing home; plan; marketplace; insurance; reimbursement; public use files; dashboard; synthetic claims; CMS</t>
  </si>
  <si>
    <t>Medicare; Medicaid; CHIP; Health Insurance Marketplace; Claims and payment; Provider utilization; Enrollment; Quality measures; Health care utilization; Health care costs; Hospitals; Nursing homes; Insurance coverage</t>
  </si>
  <si>
    <t>Medicare, Medicaid, CHIP, and Health Insurance Marketplace beneficiaries, enrollees, providers, plans, and health care organizations</t>
  </si>
  <si>
    <t>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t>
  </si>
  <si>
    <t>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t>
  </si>
  <si>
    <t>ResDAC; CMS Medicare Claims; MEPS; HCUP / HCUPnet; ACS; BRFSS; CDC PLACES; Healthcare.gov PUFs</t>
  </si>
  <si>
    <t>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t>
  </si>
  <si>
    <t>Open/public portal for public-use files, dashboards, and tools; restricted CMS data may require request approval, DUA, fees, and secure access through CMS/ResDAC pathways; verify dataset-specific access tier, documentation, citation, and privacy/suppression rules.</t>
  </si>
  <si>
    <t>DS-026</t>
  </si>
  <si>
    <t>ResDAC / CMS Research Data</t>
  </si>
  <si>
    <t>ResDAC (ResDAC)</t>
  </si>
  <si>
    <t>https://resdac.org/</t>
  </si>
  <si>
    <t>Medicare and Medicaid research identifiable files and restricted data</t>
  </si>
  <si>
    <t>Medicare; Medicaid; CHIP; Claims; Enrollment; Beneficiaries; Utilization; Payment; Provider; Prescription drugs; Long-term care; Research identifiable files; Limited data sets; VRDC; Health services research</t>
  </si>
  <si>
    <t>claims; Medicare; Medicaid; CHIP; beneficiaries; enrollment; utilization; payment; provider; prescription drugs; Part D; fee-for-service; encounter data; RIF; LDS; DUA; VRDC; CCW; T-MSIS; ResDAC; CMS research data</t>
  </si>
  <si>
    <t>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t>
  </si>
  <si>
    <t>Medicare, Medicaid, and CHIP beneficiaries represented in CMS research files</t>
  </si>
  <si>
    <t>Census Block Group</t>
  </si>
  <si>
    <t>Varies by CMS program and file type</t>
  </si>
  <si>
    <t>Annual / varies by dataset</t>
  </si>
  <si>
    <t>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t>
  </si>
  <si>
    <t>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t>
  </si>
  <si>
    <t>CMS Medicare Claims; Medicaid T-MSIS Analytic Files; Medicare Current Beneficiary Survey; Chronic Conditions Warehouse; Data.CMS.gov; MEPS; HCUP / HCUPnet; ACS; CDC PLACES; BRFSS</t>
  </si>
  <si>
    <t>Restricted access requiring approved research purpose, application, DUA, fees, and secure access processes; data are complex and require claims expertise; file availability, variables, and years vary by CMS program; public-use files are aggregated</t>
  </si>
  <si>
    <t>Restricted CMS research files require a research study application, CMS DUA, and fees; VRDC access may involve annual seat, project, and storage/usage costs</t>
  </si>
  <si>
    <t>DS-027</t>
  </si>
  <si>
    <t>Healthcare.gov Public Use Files</t>
  </si>
  <si>
    <t>Healthcare.gov PUFs (data.healthcare.gov)</t>
  </si>
  <si>
    <t>https://data.healthcare.gov/public-use-files</t>
  </si>
  <si>
    <t>Marketplace plan, benefits, provider, rate, and enrollment-related public-use files</t>
  </si>
  <si>
    <t>Health Insurance Marketplace; Exchange PUFs; Insurance plans; Issuers; Providers; Premiums; Rates; Benefits; Cost sharing; Formularies; Provider networks; Service areas; Enrollment assistance</t>
  </si>
  <si>
    <t>marketplace; exchange; health insurance; plans; issuers; premiums; rates; benefits; cost sharing; formulary; provider network; service area; county; ZIP; metal level; QHP; dental plans; SHOP; Healthcare.gov</t>
  </si>
  <si>
    <t>Health Insurance Marketplace; Insurance coverage; Plan availability; Premiums and rates; Benefits and cost sharing; Provider networks; Formularies; Service areas; Enrollment assistance</t>
  </si>
  <si>
    <t>Health Insurance Marketplace plans, issuers, providers, service areas, and certified enrollment assistance organizations</t>
  </si>
  <si>
    <t>Zip Code / County</t>
  </si>
  <si>
    <t>2014–present; varies by PUF/dataset</t>
  </si>
  <si>
    <t>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t>
  </si>
  <si>
    <t>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t>
  </si>
  <si>
    <t>CMS Data; Exchange PUFs; Marketplace PUFs; ACS; MEPS; BRFSS; CDC PLACES; County Health Rankings</t>
  </si>
  <si>
    <t>Plan, issuer, rate, benefit, and service area files vary by plan year and dataset; data describe Marketplace plans and issuers, not individual enrollees or claims; geographic fields vary by file; verify plan year, file type, data dictionary, and update date before analysis.</t>
  </si>
  <si>
    <t>Open/public source; no registration generally required; verify dataset-specific documentation, API/download options, citation guidance, and Marketplace PUF data dictionaries.</t>
  </si>
  <si>
    <t>DS-028</t>
  </si>
  <si>
    <t>HealthData.gov</t>
  </si>
  <si>
    <t>HHS HealthData.gov (HealthData.gov)</t>
  </si>
  <si>
    <t>https://healthdata.gov/</t>
  </si>
  <si>
    <t>Broad HHS open data catalog across agencies</t>
  </si>
  <si>
    <t>SDOH/geospatial; Health care utilization/cost; Chronic disease; Mental health; Substance use; Maternal/child health; HIV/infectious disease; Environmental exposure</t>
  </si>
  <si>
    <t>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t>
  </si>
  <si>
    <t>SDOH/geospatial; Chronic disease; Maternal/child health; Mental health; Substance use; HIV/infectious disease; Health care utilization/cost; Environmental exposure</t>
  </si>
  <si>
    <t>U.S. public health and health data users</t>
  </si>
  <si>
    <t>Ongoing</t>
  </si>
  <si>
    <t>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t>
  </si>
  <si>
    <t>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t>
  </si>
  <si>
    <t>U.S. Census American Community Survey (ACS); CDC PLACES; County Health Rankings &amp; Roadmaps; AHRQ SDOH Database; HRSA Area Health Resources Files (AHRF); CDC/ATSDR Social Vulnerability Index (SVI); CMS Data</t>
  </si>
  <si>
    <t>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t>
  </si>
  <si>
    <t>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t>
  </si>
  <si>
    <t>DS-029</t>
  </si>
  <si>
    <t>SAMHSA NSDUH</t>
  </si>
  <si>
    <t>NSDUH Data Tools (SAMHSA)</t>
  </si>
  <si>
    <t>https://www.samhsa.gov/data/data-we-collect/nsduh-national-survey-drug-use-and-health</t>
  </si>
  <si>
    <t>Substance use, mental health, treatment, tobacco, alcohol, drug use</t>
  </si>
  <si>
    <t>Substance use</t>
  </si>
  <si>
    <t>alcohol; opioid; tobacco; treatment; mental health; SDOH/geospatial; Chronic disease; Health care utilization/cost; Maternal/child health</t>
  </si>
  <si>
    <t>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t>
  </si>
  <si>
    <t>Substance use; Mental health; Health care utilization/cost; Maternal/child health; SDOH/geospatial; Health disparities; Behavioral health</t>
  </si>
  <si>
    <t>civilian, noninstitutionalized population of the United States aged 12 years and older.</t>
  </si>
  <si>
    <t>National; State</t>
  </si>
  <si>
    <t>1971-Present</t>
  </si>
  <si>
    <t>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t>
  </si>
  <si>
    <t>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t>
  </si>
  <si>
    <t>NHIS; BRFSS; CDC PLACES; SAMHSA TEDS; SAMHSA MH-CLD; U.S. Census American Community Survey (ACS); County Health Rankings &amp; Roadmaps</t>
  </si>
  <si>
    <t>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t>
  </si>
  <si>
    <t>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t>
  </si>
  <si>
    <t>DS-030</t>
  </si>
  <si>
    <t>SAMHSA TEDS</t>
  </si>
  <si>
    <t>TEDS Data Files (SAMHSA)</t>
  </si>
  <si>
    <t>https://www.samhsa.gov/data/data-we-collect/teds-treatment-episode-data-set/datafiles</t>
  </si>
  <si>
    <t>Substance use treatment admissions and discharges</t>
  </si>
  <si>
    <t>Mental health; Health care utilization/cost; SDOH/geospatial; Maternal/child health</t>
  </si>
  <si>
    <t>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t>
  </si>
  <si>
    <t>Substance use; Mental health; Health care utilization/cost; Behavioral health; Health disparities; Treatment services; Recovery and treatment outcomes</t>
  </si>
  <si>
    <t>Individuals aged 12 and older admitted to substance use treatment facilities</t>
  </si>
  <si>
    <t>demographic, clinical and substance use characteristics of persons admitted to treatment and type service at discharge, length of stay, and reason for discharge or discontinuation of services</t>
  </si>
  <si>
    <t>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t>
  </si>
  <si>
    <t>SAMHSA NSDUH; SAMHSA MH-CLD; U.S. Census American Community Survey (ACS); County Health Rankings &amp; Roadmaps; CDC PLACES</t>
  </si>
  <si>
    <t>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t>
  </si>
  <si>
    <t>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t>
  </si>
  <si>
    <t>DS-031</t>
  </si>
  <si>
    <t>SAMHSA MH-CLD</t>
  </si>
  <si>
    <t>MH-CLD Data Files (SAMHSA)</t>
  </si>
  <si>
    <t>https://www.samhsa.gov/data/data-we-collect/mh-cld-mental-health-client-level-data/datafiles</t>
  </si>
  <si>
    <t>Mental health treatment client-level public-use data</t>
  </si>
  <si>
    <t>Mental health</t>
  </si>
  <si>
    <t>Health care utilization/cost; Substance use; SDOH/geospatial; Maternal/child health</t>
  </si>
  <si>
    <t>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t>
  </si>
  <si>
    <t>Mental health; Health care utilization/cost; Behavioral health; Substance use; Health disparities; Mental health services; Treatment outcomes and recovery</t>
  </si>
  <si>
    <t>All child and adult clients who received mental health or support services from programs operated or funded by State Mental Health Agencies (SMHAs)</t>
  </si>
  <si>
    <t>2013-Present</t>
  </si>
  <si>
    <t>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t>
  </si>
  <si>
    <t>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t>
  </si>
  <si>
    <t>SAMHSA NSDUH; SAMHSA TEDS; U.S. Census American Community Survey (ACS); County Health Rankings &amp; Roadmaps; CDC PLACES</t>
  </si>
  <si>
    <t>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t>
  </si>
  <si>
    <t>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t>
  </si>
  <si>
    <t>DS-032</t>
  </si>
  <si>
    <t>SAMHSA Data Tools</t>
  </si>
  <si>
    <t>SAMHSA Data Tools (datatools.samhsa.gov)</t>
  </si>
  <si>
    <t>https://datatools.samhsa.gov/</t>
  </si>
  <si>
    <t>Online analysis for NSDUH, TEDS, mental health and substance use datasets</t>
  </si>
  <si>
    <t>Substance use; Health care utilization/cost; SDOH/geospatial; Maternal/child health</t>
  </si>
  <si>
    <t>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t>
  </si>
  <si>
    <t>Mental health; Substance use; Behavioral health; Health care utilization/cost; Health disparities; Prevention and recovery services; Community mental health</t>
  </si>
  <si>
    <t>U.S. population; individuals receiving mental health or substance use services; adolescents and adults; behavioral health populations</t>
  </si>
  <si>
    <t>Varies by tool/dataset</t>
  </si>
  <si>
    <t>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t>
  </si>
  <si>
    <t>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t>
  </si>
  <si>
    <t>SAMHSA NSDUH; SAMHSA TEDS; SAMHSA MH-CLD; U.S. Census American Community Survey (ACS); County Health Rankings &amp; Roadmaps</t>
  </si>
  <si>
    <t>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t>
  </si>
  <si>
    <t>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t>
  </si>
  <si>
    <t>DS-033</t>
  </si>
  <si>
    <t>CDC AtlasPlus</t>
  </si>
  <si>
    <t>NCHHSTP AtlasPlus (CDC)</t>
  </si>
  <si>
    <t>https://www.cdc.gov/nchhstp/about/atlasplus.html</t>
  </si>
  <si>
    <t>HIV, viral hepatitis, STD, TB, and selected social determinants data</t>
  </si>
  <si>
    <t>HIV/infectious disease</t>
  </si>
  <si>
    <t>Substance use; SDOH/geospatial; Mental health; Maternal/child health</t>
  </si>
  <si>
    <t>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t>
  </si>
  <si>
    <t>HIV/infectious disease; Substance use; SDOH/geospatial; Mental health; Maternal/child health</t>
  </si>
  <si>
    <t>U.S. populations affected by HIV, STIs, viral hepatitis, TB, and related SDOH indicators</t>
  </si>
  <si>
    <t>2008-Present</t>
  </si>
  <si>
    <t>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t>
  </si>
  <si>
    <t>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t>
  </si>
  <si>
    <t>AIDSVu; U.S. Census American Community Survey (ACS); CDC/ATSDR Social Vulnerability Index (SVI); CDC PLACES</t>
  </si>
  <si>
    <t>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t>
  </si>
  <si>
    <t>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t>
  </si>
  <si>
    <t>DS-034</t>
  </si>
  <si>
    <t>AIDSVu</t>
  </si>
  <si>
    <t>AIDSVu (AIDSVu)</t>
  </si>
  <si>
    <t>https://aidsvu.org/</t>
  </si>
  <si>
    <t>U.S. HIV prevalence, diagnosis, PrEP, care-related maps and local indicators</t>
  </si>
  <si>
    <t>SDOH/geospatial; Health care utilization/cost; Substance use; Mental health</t>
  </si>
  <si>
    <t>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t>
  </si>
  <si>
    <t>HIV/infectious disease; SDOH/geospatial; Health disparities; HIV prevention; HIV care continuum; Health care utilization/cost; Spatial epidemiology</t>
  </si>
  <si>
    <t>People living with HIV, new HIV diagnoses, PrEP users, and HIV care populations in the U.S.</t>
  </si>
  <si>
    <t>ZIP/ZCTA</t>
  </si>
  <si>
    <t>Varies by indicator; generally mid-2000s</t>
  </si>
  <si>
    <t>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t>
  </si>
  <si>
    <t>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t>
  </si>
  <si>
    <t>CDC AtlasPlus; U.S. Census American Community Survey (ACS); CDC/ATSDR Social Vulnerability Index (SVI); AHRQ SDOH Database</t>
  </si>
  <si>
    <t>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t>
  </si>
  <si>
    <t>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t>
  </si>
  <si>
    <t>DS-035</t>
  </si>
  <si>
    <t>AHEAD HIV Dashboard</t>
  </si>
  <si>
    <t>HIV.gov AHEAD (HIV.gov)</t>
  </si>
  <si>
    <t>https://www.hiv.gov/federal-response/ending-the-hiv-epidemic/dashboard</t>
  </si>
  <si>
    <t>Ending the HIV Epidemic indicators for priority jurisdictions, states, and U.S.</t>
  </si>
  <si>
    <t>HIV; Ending the HIV Epidemic; EHE; Public health surveillance; HIV diagnoses; HIV incidence; Linkage to care; Viral suppression; PrEP; SDOH; Health disparities; Dashboard</t>
  </si>
  <si>
    <t>HIV; EHE; Ending the HIV Epidemic; diagnoses; incidence; PrEP; linkage to care; viral suppression; knowledge of status; health disparities; SDOH; poverty; uninsured; housing burden; HIV stigma; county; state; priority jurisdictions; dashboard</t>
  </si>
  <si>
    <t>HIV surveillance; HIV prevention; HIV care continuum; PrEP coverage; Viral suppression; Linkage to HIV care; SDOH; Health disparities; Ending the HIV Epidemic priority jurisdictions</t>
  </si>
  <si>
    <t>U.S. populations affected by HIV, including people with diagnosed HIV, people newly diagnosed with HIV, and people eligible for HIV prevention services</t>
  </si>
  <si>
    <t>County/Zip Code</t>
  </si>
  <si>
    <t>Varies by indicator; EHE dashboard focuses on 2019–present trends</t>
  </si>
  <si>
    <t>Quarterly / varies by indicator</t>
  </si>
  <si>
    <t>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t>
  </si>
  <si>
    <t>HIV surveillance; Ending the HIV Epidemic progress monitoring; HIV prevention planning; PrEP coverage analyses; linkage-to-care and viral suppression tracking; HIV disparities research; SDOH context for HIV outcomes; state and county HIV trend visualization</t>
  </si>
  <si>
    <t>CDC AtlasPlus; AIDSVu; CDC WONDER; BRFSS; ACS; CDC/ATSDR SVI; County Health Rankings; SC DPH</t>
  </si>
  <si>
    <t>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t>
  </si>
  <si>
    <t>Open/public dashboard; no registration required; verify indicator definitions, data methods, update date, geography level, suppression rules, and citation guidance before analysis.</t>
  </si>
  <si>
    <t>DS-036</t>
  </si>
  <si>
    <t>NCI Genomic Data Commons / TCGA</t>
  </si>
  <si>
    <t>GDC Data Portal (GDC Portal)</t>
  </si>
  <si>
    <t>https://portal.gdc.cancer.gov/</t>
  </si>
  <si>
    <t>Cancer genomics, clinical, biospecimen, molecular data including TCGA and CPTAC</t>
  </si>
  <si>
    <t>Genomics/molecular; Clinical trials; Imaging</t>
  </si>
  <si>
    <t>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t>
  </si>
  <si>
    <t>Cancer; Genomics/molecular; Precision oncology; Cancer biology; Biomarker discovery; Translational research; Multi-omics</t>
  </si>
  <si>
    <t>Individuals with cancer whose clinical, genomic, biospecimen, and related research data have been contributed through NCI-funded and partner cancer research projects</t>
  </si>
  <si>
    <t>2006-2013, 2016-Present</t>
  </si>
  <si>
    <t>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t>
  </si>
  <si>
    <t>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t>
  </si>
  <si>
    <t>The Cancer Imaging Archive (TCIA); SEER Program; dbGaP; NCBI GEO</t>
  </si>
  <si>
    <t>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t>
  </si>
  <si>
    <t>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t>
  </si>
  <si>
    <t>DS-037</t>
  </si>
  <si>
    <t>The Cancer Imaging Archive — TCIA</t>
  </si>
  <si>
    <t>TCIA (Cancer Imaging Archive)</t>
  </si>
  <si>
    <t>https://www.cancerimagingarchive.net/</t>
  </si>
  <si>
    <t>De-identified cancer imaging, radiology, pathology, linked clinical/genomic collections</t>
  </si>
  <si>
    <t>Cancer; Genomics/molecular; Clinical trials</t>
  </si>
  <si>
    <t>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t>
  </si>
  <si>
    <t>Imaging; Cancer; Radiomics; Precision oncology; Imaging biomarkers; Image analysis and machine learning; Translational cancer research</t>
  </si>
  <si>
    <t>de-identified cancer imaging data from tens of thousands of patients</t>
  </si>
  <si>
    <t>2011-Present</t>
  </si>
  <si>
    <t>Irregular/ongoing</t>
  </si>
  <si>
    <t>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t>
  </si>
  <si>
    <t>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t>
  </si>
  <si>
    <t>NCI Genomic Data Commons (GDC)/TCGA; SEER Program; dbGaP; NCBI GEO</t>
  </si>
  <si>
    <t>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t>
  </si>
  <si>
    <t>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t>
  </si>
  <si>
    <t>DS-038</t>
  </si>
  <si>
    <t>dbGaP</t>
  </si>
  <si>
    <t>NIH dbGaP (dbgap.ncbi.nlm.nih.gov)</t>
  </si>
  <si>
    <t>https://dbgap.ncbi.nlm.nih.gov/home/</t>
  </si>
  <si>
    <t>Human genotype–phenotype studies, genomic and clinical phenotype data</t>
  </si>
  <si>
    <t>Cancer; Chronic disease; Mental health; Maternal/child health; HIV/infectious disease</t>
  </si>
  <si>
    <t>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t>
  </si>
  <si>
    <t>Genomics/molecular; Precision medicine; Human genetics; Genetic epidemiology; Multi-omics; Biomarker discovery; Translational research</t>
  </si>
  <si>
    <t>participants enrolled in genetic, genomic, clinical, epidemiologic, and phenotype studies, contains data from millions of study participants across thousands of studies</t>
  </si>
  <si>
    <t>varies, 2007-Present</t>
  </si>
  <si>
    <t>Irregular/Ongoing</t>
  </si>
  <si>
    <t>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t>
  </si>
  <si>
    <t>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t>
  </si>
  <si>
    <t>NCBI GEO; NCI Genomic Data Commons (GDC)/TCGA; The Cancer Imaging Archive (TCIA); All of Us Research Program</t>
  </si>
  <si>
    <t>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t>
  </si>
  <si>
    <t>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t>
  </si>
  <si>
    <t>DS-039</t>
  </si>
  <si>
    <t>NCBI GEO</t>
  </si>
  <si>
    <t>Gene Expression Omnibus (NCBI)</t>
  </si>
  <si>
    <t>https://www.ncbi.nlm.nih.gov/sites/GDSbrowser?acc=GDS3837</t>
  </si>
  <si>
    <t>Gene expression, transcriptomics, functional genomics datasets</t>
  </si>
  <si>
    <t>Cancer; Chronic disease; Mental health; HIV/infectious disease; Maternal/child health</t>
  </si>
  <si>
    <t>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t>
  </si>
  <si>
    <t>Genomics/molecular; Transcriptomics; Functional genomics; Epigenomics; Biomarker discovery; Systems biology; Translational research</t>
  </si>
  <si>
    <t>samples from a wide range of organisms, including humans, animals, plants, microbes, and cell lines</t>
  </si>
  <si>
    <t>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t>
  </si>
  <si>
    <t>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t>
  </si>
  <si>
    <t>dbGaP; NCI Genomic Data Commons (GDC)/TCGA; The Cancer Imaging Archive (TCIA)</t>
  </si>
  <si>
    <t>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t>
  </si>
  <si>
    <t>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t>
  </si>
  <si>
    <t>DS-040</t>
  </si>
  <si>
    <t>PhysioNet</t>
  </si>
  <si>
    <t>PhysioNet (PhysioNet)</t>
  </si>
  <si>
    <t>https://physionet.org/</t>
  </si>
  <si>
    <t>Physiologic signals, clinical datasets, ECG, ICU, waveform, biomedical data</t>
  </si>
  <si>
    <t>Open plus credentialed access plus restricted access</t>
  </si>
  <si>
    <t>Open plus credentialed access</t>
  </si>
  <si>
    <t>Synthetic/methods</t>
  </si>
  <si>
    <t>physiological signals; ECG; ICU monitoring; waveform data; clinical databases; biomedical research; machine learning; time series analysis; digital health; open health data</t>
  </si>
  <si>
    <t>Physiologic signals</t>
  </si>
  <si>
    <t>Biomedical signal processing; Critical care; Cardiology; Clinical informatics; Machine learning; Digital health; Biomedical engineering; Health data science</t>
  </si>
  <si>
    <t>varies, 1980s-Present</t>
  </si>
  <si>
    <t>continuous/ongoing</t>
  </si>
  <si>
    <t>ECG signals; heart rate; blood pressure; respiratory rate; oxygen saturation (SpO₂); EEG signals; ICU vital signs; laboratory values; demographics; clinical outcomes</t>
  </si>
  <si>
    <t>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t>
  </si>
  <si>
    <t>MIMIC-IV; N3C Data Enclave; All of Us Research Program; UK Biobank; Synthea</t>
  </si>
  <si>
    <t>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t>
  </si>
  <si>
    <t>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t>
  </si>
  <si>
    <t>DS-041</t>
  </si>
  <si>
    <t>MIMIC-IV</t>
  </si>
  <si>
    <t>MIMIC-IV (PhysioNet)</t>
  </si>
  <si>
    <t>https://physionet.org/content/mimiciv/</t>
  </si>
  <si>
    <t>De-identified ICU, hospital, and emergency department EHR data</t>
  </si>
  <si>
    <t>Credentialed access</t>
  </si>
  <si>
    <t>Health care utilization/cost; Synthetic/methods</t>
  </si>
  <si>
    <t>critical care; ICU; electronic health records; hospital admissions; vital signs; laboratory results; medications; clinical outcomes; patient monitoring; intensive care database</t>
  </si>
  <si>
    <t>Critical care; Intensive care medicine; Clinical informatics; Health services research; Patient outcomes; Hospital medicine; Predictive analytics; Machine learning in healthcare; Digital health; Biomedical data science</t>
  </si>
  <si>
    <t>65,000+ ICU patients and over 200,000+ ED patients admitted at Beth Israel Deaconess Medical Center (BIDMC)</t>
  </si>
  <si>
    <t>Hospital/health system</t>
  </si>
  <si>
    <t>2008-2019</t>
  </si>
  <si>
    <t>ongoing/periodic</t>
  </si>
  <si>
    <t>Demographics; diagnoses (ICD codes); vital signs; laboratory results; medications; procedures; ICU interventions; comorbidities; length of stay; mortality outcomes</t>
  </si>
  <si>
    <t>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t>
  </si>
  <si>
    <t>PhysioNet; N3C Data Enclave; All of Us Research Program; HCUP/HCUPnet; CMS Data; Synthea</t>
  </si>
  <si>
    <t>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t>
  </si>
  <si>
    <t>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t>
  </si>
  <si>
    <t>DS-042</t>
  </si>
  <si>
    <t>Synthea</t>
  </si>
  <si>
    <t>Synthea (synthea.org)</t>
  </si>
  <si>
    <t>https://synthea.org/</t>
  </si>
  <si>
    <t>Synthetic patient-level EHR data for methods development and testing</t>
  </si>
  <si>
    <t>EHR/clinical; Claims/payment/provider</t>
  </si>
  <si>
    <t>synthetic health data; synthetic patients; EHR simulation; healthcare interoperability; FHIR; claims data; clinical encounters; population health modeling; health IT testing; data standards</t>
  </si>
  <si>
    <t>Synthetic data</t>
  </si>
  <si>
    <t>Health informatics; Synthetic data generation; Healthcare interoperability; EHR systems; Population health modeling; Health IT testing; Clinical informatics; Data standards and exchange; Machine learning methods; Digital health</t>
  </si>
  <si>
    <t>Synthetic patients generated by simulation models</t>
  </si>
  <si>
    <t>varies</t>
  </si>
  <si>
    <t>on demand/static</t>
  </si>
  <si>
    <t>Demographics; diagnoses; procedures; medications; laboratory results; encounters; insurance coverage; care utilization; social determinants of health; mortality and health outcomes</t>
  </si>
  <si>
    <t>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t>
  </si>
  <si>
    <t>MIMIC-IV; PhysioNet; N3C Data Enclave; All of Us Research Program; CMS Data; HCUP/HCUPnet</t>
  </si>
  <si>
    <t>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t>
  </si>
  <si>
    <t>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t>
  </si>
  <si>
    <t>DS-043</t>
  </si>
  <si>
    <t>ClinicalTrials.gov</t>
  </si>
  <si>
    <t>ClinicalTrials.gov API (ClinicalTrials.gov)</t>
  </si>
  <si>
    <t>https://clinicaltrials.gov/data-api/api</t>
  </si>
  <si>
    <t>Clinical trial registry, study design, interventions, sponsors, outcomes, locations</t>
  </si>
  <si>
    <t>Clinical trials; Trial registry; Interventions; Recruitment; Eligibility; Sponsors; Study locations; Outcomes; Conditions; Drugs; Devices; Behavioral interventions; API; Global trials</t>
  </si>
  <si>
    <t>trial; clinical trial; intervention; sponsor; recruitment; eligibility; outcomes; arms; phase; condition; drug; device; biologic; behavioral intervention; NCT ID; study location; protocol; results; API; registry</t>
  </si>
  <si>
    <t>Trial registry</t>
  </si>
  <si>
    <t>Clinical trials; Interventional studies; Observational studies; Trial recruitment; Eligibility criteria; Study outcomes; Trial locations; Sponsors/collaborators; Drug and device studies; Public trial registration</t>
  </si>
  <si>
    <t>Clinical Studies and trial records of registered patients/subjects;</t>
  </si>
  <si>
    <t>Facility/Provider</t>
  </si>
  <si>
    <t>Study/trial</t>
  </si>
  <si>
    <t>Varies by study; ClinicalTrials.gov records available from 2000s–present</t>
  </si>
  <si>
    <t>ongoing/irregular; depends on study/trial;</t>
  </si>
  <si>
    <t>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t>
  </si>
  <si>
    <t>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t>
  </si>
  <si>
    <t>PubMed; ClinicalTrials.gov Results Database; FDA Drugs@FDA; OpenFDA; NIH RePORTER; BioLINCC; dbGaP; NCI Clinical Trials Search</t>
  </si>
  <si>
    <t>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t>
  </si>
  <si>
    <t>Open/public API; no registration generally required; verify API documentation, field definitions, usage guidance, pagination, citation, and terms of use before analysi</t>
  </si>
  <si>
    <t>DS-044</t>
  </si>
  <si>
    <t>openFDA / FAERS</t>
  </si>
  <si>
    <t>openFDA Drug Event API / FAERS (OpenFDA)</t>
  </si>
  <si>
    <t>https://www.fda.gov/drugs/drug-approvals-and-databases/fda-adverse-event-reporting-system-faers-database</t>
  </si>
  <si>
    <t>Adverse drug events, medication safety, post-marketing surveillance</t>
  </si>
  <si>
    <t>Medication safety; Medical device adverse events; Adverse drug events; Pharmacovigilance; Post-marketing surveillance; Drug safety; Medication errors; Therapeutic biologics; FDA; API; Public dashboard</t>
  </si>
  <si>
    <t>adverse event; drug safety; medication safety; medical device monitoring; FAERS; openFDA; pharmacovigilance; post-marketing surveillance; medication error; side effect; drug reaction; suspect drug; concomitant drug; therapeutic failure; product quality; API; JSON</t>
  </si>
  <si>
    <t>Adverse drug events; Medication safety; Pharmacovigilance; Post-marketing surveillance; Medication errors; Drug reactions; Product quality problems; Therapeutic failures</t>
  </si>
  <si>
    <t>Patients represented in adverse event and medication error reports submitted to FDA for marketed drugs and therapeutic biologics</t>
  </si>
  <si>
    <t xml:space="preserve">Quarterly </t>
  </si>
  <si>
    <t>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t>
  </si>
  <si>
    <t>Medication safety surveillance; adverse drug event signal detection; pharmacovigilance research; post-marketing drug safety monitoring; medication error analyses; drug-reaction pattern exploration; API-based safety dashboard development</t>
  </si>
  <si>
    <t>FDA FAERS Public Dashboard; Drugs@FDA; openFDA Drug Label API; FDA Complete Response Letters; FDA Orange Book; ClinicalTrials.gov</t>
  </si>
  <si>
    <t>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t>
  </si>
  <si>
    <t>Open/public FDA data source and API; no registration generally required; verify API documentation, field definitions, quarterly update timing, data lag, disclaimers, and responsible-use guidance before analysis.</t>
  </si>
  <si>
    <t>DS-045</t>
  </si>
  <si>
    <t>VAERS</t>
  </si>
  <si>
    <t>VAERS Data (vaers.hhs.gov)</t>
  </si>
  <si>
    <t>https://vaers.hhs.gov/data/datasets.html</t>
  </si>
  <si>
    <t>Vaccine adverse event reports</t>
  </si>
  <si>
    <t>Vaccine safety; Adverse events; Pharmacovigilance; Post-marketing surveillance; Immunization; CDC; FDA; Passive surveillance; MedDRA; Public health surveillance</t>
  </si>
  <si>
    <t>VAERS; vaccine; adverse event; immunization; vaccine safety; side effects; post-marketing surveillance; passive surveillance; CDC; FDA; MedDRA; vaccine lot; manufacturer; hospitalization; death; serious adverse event</t>
  </si>
  <si>
    <t>Vaccine safety; Adverse events following immunization; Immunization surveillance; Post-marketing vaccine monitoring; Serious adverse events; Medication/vaccine safety</t>
  </si>
  <si>
    <t>People of all ages with suspected adverse events reported after administration of U.S.-licensed vaccines</t>
  </si>
  <si>
    <t>1990–present</t>
  </si>
  <si>
    <t>Periodic/quarterly</t>
  </si>
  <si>
    <t>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t>
  </si>
  <si>
    <t>Vaccine safety surveillance; adverse event signal detection; post-marketing vaccine monitoring; serious adverse event review; vaccine lot/manufacturer safety exploration; descriptive analyses of reported symptoms following vaccination</t>
  </si>
  <si>
    <t>CDC WONDER; FDA FAERS; openFDA Drug Event API; CDC Immunization Data; CDC Data Portal; PubMed; ClinicalTrials.gov</t>
  </si>
  <si>
    <t>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t>
  </si>
  <si>
    <t>Open/public downloadable CSV files and CDC WONDER access; no identifying individual information is provided in public files; CAPTCHA may be required for downloads; verify data use guide, update date, file structure, MedDRA coding, disclaimer, and responsible-use guidance before analysis.</t>
  </si>
  <si>
    <t>DS-046</t>
  </si>
  <si>
    <t>CDC Environmental Public Health Tracking Network</t>
  </si>
  <si>
    <t>CDC Tracking Network (ephtracking.cdc.gov)</t>
  </si>
  <si>
    <t>https://ephtracking.cdc.gov/DataExplorer/</t>
  </si>
  <si>
    <t>Environmental exposures, asthma, heat, air quality, community health indicators</t>
  </si>
  <si>
    <t>Environmental health; Public health surveillance; Air quality; Heat; Climate; Water quality; Asthma; Birth defects; Cancer; Environmental justice; SDOH; Geospatial; Dashboards; Data explorer</t>
  </si>
  <si>
    <t>environment; environmental health; exposure; air quality; heat; climate; water; asthma; birth defects; cancer; environmental justice; public health; surveillance; CDC Tracking; county; census tract; ZIP code; map; dashboard; data explorer</t>
  </si>
  <si>
    <t>Environmental</t>
  </si>
  <si>
    <t>Environmental exposure; Environmental health; Air quality; Heat and climate; Water quality; Asthma; Birth defects; Cancer; Environmental justice; Public health surveillance; Community health indicators</t>
  </si>
  <si>
    <t>U.S. populations and communities represented through environmental, health, exposure, and population indicators</t>
  </si>
  <si>
    <t>Varies by indicator and geographic area</t>
  </si>
  <si>
    <t>Varies by dataset/indicator</t>
  </si>
  <si>
    <t>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t>
  </si>
  <si>
    <t>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t>
  </si>
  <si>
    <t>EPA AQS; EPA Envirofacts; CDC PLACES; ACS; CDC/ATSDR SVI; County Health Rankings; CDC WONDER; SC DPH Public Health Data</t>
  </si>
  <si>
    <t>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t>
  </si>
  <si>
    <t>Open/public CDC data explorer and dashboards; no registration generally required; verify indicator-specific metadata, update date, geography level, citation guidance, API/download documentation, and suppression/privacy rules.</t>
  </si>
  <si>
    <t>DS-047</t>
  </si>
  <si>
    <t>EPA Envirofacts</t>
  </si>
  <si>
    <t>EPA Envirofacts Data Downloads (US EPA)</t>
  </si>
  <si>
    <t>https://www.epa.gov/enviro/data-downloads</t>
  </si>
  <si>
    <t>Environmental facility, air, water, hazardous waste, toxic release, compliance data</t>
  </si>
  <si>
    <t>Environmental exposure</t>
  </si>
  <si>
    <t>Environmental health; EPA; Facilities; Regulated facilities; Toxic releases; Air; Water; Land; Waste; Radiation; Chemicals; TRI; FRS; SDWIS; RadNet; Geospatial; Environmental compliance</t>
  </si>
  <si>
    <t>environment; EPA; Envirofacts; facility; regulated facility; toxic release; TRI; FRS; SDWIS; RadNet; air; water; land; waste; chemicals; radiation; pollution; emissions; environmental exposure; latitude; longitude; geospatial; CSV; API</t>
  </si>
  <si>
    <t>Environmental exposure; Environmental health; Toxic releases; Regulated facilities; Air pollution; Water systems; Waste management; Radiation monitoring; Chemical releases; Environmental compliance; Geospatial facility data</t>
  </si>
  <si>
    <t>U.S. environmental facilities, regulated entities, monitoring locations, water systems, chemical release sites, and communities potentially affected by environmental activities</t>
  </si>
  <si>
    <t>Facility/provider</t>
  </si>
  <si>
    <t>Varies by dataset/program</t>
  </si>
  <si>
    <t>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t>
  </si>
  <si>
    <t>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t>
  </si>
  <si>
    <t>EPA AQS; EPA ECHO; EPA TRI; Facility Registry Service; SDWIS; RadNet; CDC Environmental Public Health Tracking Network; ACS; CDC/ATSDR SVI; CDC PLACES</t>
  </si>
  <si>
    <t>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t>
  </si>
  <si>
    <t>Open/public EPA data downloads, geospatial files, searches, and APIs; no registration generally required; verify program-specific metadata, data refresh schedule, citation guidance, licensing/terms, and responsible-use notes before analysis.</t>
  </si>
  <si>
    <t>DS-048</t>
  </si>
  <si>
    <t>EPA Air Quality System — AQS</t>
  </si>
  <si>
    <t>EPA AQS API (aqs.epa.gov)</t>
  </si>
  <si>
    <t>https://aqs.epa.gov/aqsweb/documents/data_api.html</t>
  </si>
  <si>
    <t>Ambient air monitoring data from U.S. monitors</t>
  </si>
  <si>
    <t>SDOH/geospatial; Chronic disease</t>
  </si>
  <si>
    <t>air quality; air pollution; PM2.5; ozone; nitrogen dioxide (NO₂); sulfur dioxide (SO₂); carbon monoxide; environmental monitoring; ambient air measurements; EPA monitoring stations</t>
  </si>
  <si>
    <t>Environmental health; Air pollution exposure; Environmental epidemiology; Climate and health; Respiratory health; Cardiovascular health; Exposure assessment; Geospatial health analysis; Environmental justice; Public health surveillance</t>
  </si>
  <si>
    <t>air quality / pollution data collected by EPA, state, and municipal monitoring (2,500 monitoring stations total, 500 city forecasts)- organized by geographic units</t>
  </si>
  <si>
    <t>PM2.5 concentration; PM10 concentration; ozone (O₃); nitrogen dioxide (NO₂); sulfur dioxide (SO₂); carbon monoxide (CO); air quality index (AQI); monitoring site location; date/time of measurement; pollutant exceedance indicators</t>
  </si>
  <si>
    <t>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t>
  </si>
  <si>
    <t>CDC Environmental Public Health Tracking Network; EPA Envirofacts; ACS; CDC/ATSDR SVI; CDC PLACES; County Health Rankings &amp; Roadmaps; NHANES</t>
  </si>
  <si>
    <t>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t>
  </si>
  <si>
    <t>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t>
  </si>
  <si>
    <t>DS-049</t>
  </si>
  <si>
    <t>USDA Food Environment Atlas</t>
  </si>
  <si>
    <t>USDA Food Environment Atlas (Economic Research Service)</t>
  </si>
  <si>
    <t>https://www.ers.usda.gov/data-products/food-environment-atlas</t>
  </si>
  <si>
    <t>County food access, food stores, restaurants, assistance programs, local foods</t>
  </si>
  <si>
    <t>Food/nutrition</t>
  </si>
  <si>
    <t>SDOH/geospatial; Rurality</t>
  </si>
  <si>
    <t>food environment; food access; food deserts; nutrition; healthy food availability; grocery stores; food insecurity; SNAP participation; obesity; community food resources</t>
  </si>
  <si>
    <t>Food access; Nutrition and diet; Food insecurity; Obesity and chronic disease; Community food environment; Rural health; Social determinants of health; Health equity; Geographic access to services; Population health</t>
  </si>
  <si>
    <t>U.S. communities and resident populations represented at the county and state levels</t>
  </si>
  <si>
    <t>2006–Present (varies by indicator)</t>
  </si>
  <si>
    <t>annual/periodic</t>
  </si>
  <si>
    <t>Food access indicators; food desert status; grocery store availability; SNAP participation; farmers market access; restaurant density; food insecurity measures; obesity prevalence; physical activity indicators; household vehicle access and distance to food retailers</t>
  </si>
  <si>
    <t>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t>
  </si>
  <si>
    <t>ACS; CDC PLACES; County Health Rankings &amp; Roadmaps; AHRQ SDOH Database; CDC/ATSDR SVI; USDA Rural-Urban Continuum Codes; BRFSS</t>
  </si>
  <si>
    <t>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t>
  </si>
  <si>
    <t>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t>
  </si>
  <si>
    <t>DS-050</t>
  </si>
  <si>
    <t>USDA Rural-Urban Continuum Codes</t>
  </si>
  <si>
    <t>USDA RUCC (Economic Research Service)</t>
  </si>
  <si>
    <t>https://www.ers.usda.gov/data-products/rural-urban-continuum-codes</t>
  </si>
  <si>
    <t>County-level rurality and metro/nonmetro classification</t>
  </si>
  <si>
    <t>Rurality</t>
  </si>
  <si>
    <t>rural-urban continuum codes; RUCC; rurality; urbanization; metropolitan status; nonmetropolitan counties; county classification; rural health; geographic classification; USDA rural indicators</t>
  </si>
  <si>
    <t>Rural health; Geographic disparities; Social determinants of health; Health services access; Population health; Health equity; Regional development; Healthcare workforce distribution; Community characteristics; Geospatial health research</t>
  </si>
  <si>
    <t>US population at community level - organized by degree of urbanization</t>
  </si>
  <si>
    <t>1974-2023</t>
  </si>
  <si>
    <t>Rural-Urban Continuum Code (RUCC); metropolitan status; nonmetropolitan status; population size category; urbanization level; adjacency to metropolitan area; county FIPS code; county name; state; rurality classification category</t>
  </si>
  <si>
    <t>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t>
  </si>
  <si>
    <t>ACS; County Health Rankings &amp; Roadmaps; AHRF; CDC PLACES; CDC/ATSDR SVI; USDA Food Environment Atlas; BRFSS</t>
  </si>
  <si>
    <t>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t>
  </si>
  <si>
    <t>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t>
  </si>
  <si>
    <t>DS-051</t>
  </si>
  <si>
    <t>WHO Global Health Observatory</t>
  </si>
  <si>
    <t>WHO GHO (World Health Organization)</t>
  </si>
  <si>
    <t>https://www.who.int/data/gho</t>
  </si>
  <si>
    <t>Global health indicators across WHO member states</t>
  </si>
  <si>
    <t>Global health</t>
  </si>
  <si>
    <t>Chronic disease; Maternal/child health; HIV/infectious disease</t>
  </si>
  <si>
    <t>global health; international health statistics; WHO indicators; disease burden; mortality; life expectancy; maternal health; child health; infectious diseases; health systems</t>
  </si>
  <si>
    <t>Global health; Population health; Noncommunicable diseases; Infectious diseases; Maternal and child health; Mortality and life expectancy; Health systems and services; Health equity; Public health surveillance; Sustainable Development Goals (SDGs)</t>
  </si>
  <si>
    <t>Global populations represented through national and subnational health indicators</t>
  </si>
  <si>
    <t>1948-Present (varies by indicator)</t>
  </si>
  <si>
    <t>Life expectancy; mortality rates; infant mortality; maternal mortality; disease incidence and prevalence; vaccination coverage; HIV prevalence; tuberculosis incidence; health workforce indicators; health expenditure measures</t>
  </si>
  <si>
    <t>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t>
  </si>
  <si>
    <t>World Bank Open Data; IHME Global Burden of Disease (GBD); OECD Health Statistics</t>
  </si>
  <si>
    <t>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t>
  </si>
  <si>
    <t>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t>
  </si>
  <si>
    <t>DS-052</t>
  </si>
  <si>
    <t>World Bank Open Data</t>
  </si>
  <si>
    <t>World Bank Data (World Bank Open Data)</t>
  </si>
  <si>
    <t>https://data.worldbank.org/</t>
  </si>
  <si>
    <t>Global development, population, health, economy, poverty, education indicators</t>
  </si>
  <si>
    <t>SDOH/geospatial; Environmental exposure</t>
  </si>
  <si>
    <t>World Bank indicators; international development; global health; economic indicators; poverty; population statistics; education; health expenditure; environment; country-level data</t>
  </si>
  <si>
    <t>Global development; Global health; Population and demographics; Poverty and inequality; Economic development; Education; Environment and climate; Social determinants of health; Health systems and financing; Sustainable Development Goals (SDGs)</t>
  </si>
  <si>
    <t>National populations, economies, and development systems worldwide</t>
  </si>
  <si>
    <t>1960–Present (varies by indicator)</t>
  </si>
  <si>
    <t>ongoing/annual</t>
  </si>
  <si>
    <t>Population size; GDP per capita; poverty rates; life expectancy; mortality rates; health expenditure; education attainment; unemployment rate; fertility rate; CO₂ emissions and environmental indicators</t>
  </si>
  <si>
    <t>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t>
  </si>
  <si>
    <t>WHO Global Health Observatory; IHME Global Burden of Disease (GBD); OECD Health Statistics</t>
  </si>
  <si>
    <t>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t>
  </si>
  <si>
    <t>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t>
  </si>
  <si>
    <t>DS-053</t>
  </si>
  <si>
    <t>IHME Global Burden of Disease — GBD</t>
  </si>
  <si>
    <t>GBD Results Tool (Health Data)</t>
  </si>
  <si>
    <t>https://www.healthdata.org/data-tools-practices/interactive-visuals/gbd-results</t>
  </si>
  <si>
    <t>Global, national, and subnational disease burden, mortality, risk factor estimates</t>
  </si>
  <si>
    <t>Open/public with terms</t>
  </si>
  <si>
    <t>Chronic disease; HIV/infectious disease; Mental health</t>
  </si>
  <si>
    <t>global burden of disease; mortality; disability-adjusted life years (DALYs); years of life lost (YLLs); years lived with disability (YLDs); risk factors; disease burden; health metrics; life expectancy; population health estimates</t>
  </si>
  <si>
    <t>Global health; Disease burden; Mortality and survival; Noncommunicable diseases; Infectious diseases; Mental health; Risk factor epidemiology; Population health; Health disparities; Health metrics and outcomes research</t>
  </si>
  <si>
    <t>Global populations represented through disease, injury, mortality, and risk-factor estimates</t>
  </si>
  <si>
    <t>1990-Present</t>
  </si>
  <si>
    <t>Mortality rates; life expectancy; disability-adjusted life years (DALYs); years of life lost (YLLs); years lived with disability (YLDs); disease prevalence; disease incidence; risk factor exposure; attributable burden estimates; healthy life expectancy (HALE)</t>
  </si>
  <si>
    <t>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t>
  </si>
  <si>
    <t>WHO Global Health Observatory; World Bank Open Data; OECD Health Statistics</t>
  </si>
  <si>
    <t>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t>
  </si>
  <si>
    <t>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t>
  </si>
  <si>
    <t>DS-054</t>
  </si>
  <si>
    <t>OECD Health Statistics</t>
  </si>
  <si>
    <t>OECD Health Statistics (OECD)</t>
  </si>
  <si>
    <t>https://www.oecd.org/en/data/datasets/oecd-health-statistics.html</t>
  </si>
  <si>
    <t>Comparable health system, health spending, utilization, outcomes across OECD countries</t>
  </si>
  <si>
    <t>Health systems; International comparisons; Health expenditure; Health care utilization; Health workforce; Health care quality; Health coverage; Long-term care; Risk factors; Pharmaceutical market</t>
  </si>
  <si>
    <t>global; international; OECD; country; health systems; health expenditure; financing; utilization; quality; workforce; life expectancy; mortality; health coverage; long-term care; risk factors; tobacco; alcohol; obesity; pharmaceutical; comparative health statistics</t>
  </si>
  <si>
    <t>Health systems; Health expenditure and financing; Health status; Health care resources; Health care utilization; Health care quality; Pharmaceutical market; Health coverage; Long-term care; Risk factors</t>
  </si>
  <si>
    <t>Populations of OECD member and partner countries represented through national health and health system indicators</t>
  </si>
  <si>
    <t>Varies by indicator and country; many indicators available from 1960–present</t>
  </si>
  <si>
    <t>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t>
  </si>
  <si>
    <t>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t>
  </si>
  <si>
    <t>WHO Global Health Observatory; World Bank Open Data; IHME Global Burden of Disease; Eurostat; UN Population Division</t>
  </si>
  <si>
    <t>Country-level aggregate data only; definitions, reporting practices, and availability vary by country and indicator; not suitable for South Carolina-specific or individual-level analyses; cross-country comparisons require careful review of OECD metadata and source notes.</t>
  </si>
  <si>
    <t>Open/public OECD data source; verify indicator definitions, country coverage, metadata, update date, citation guidance, and OECD terms of use before analysis</t>
  </si>
  <si>
    <t>DS-055</t>
  </si>
  <si>
    <t>South Carolina DPH Public Health Data</t>
  </si>
  <si>
    <t>SC DPH Public Health Data (SCDPH)</t>
  </si>
  <si>
    <t>https://dph.sc.gov/professionals/public-health-data</t>
  </si>
  <si>
    <t>South Carolina public health dashboards, reports, BRFSS, cancer registry, HIV/STD, overdose, vital statistics resources</t>
  </si>
  <si>
    <t>Open/public plus restricted components</t>
  </si>
  <si>
    <t>South Carolina/local data</t>
  </si>
  <si>
    <t>Public health surveillance; South Carolina/local data; Chronic disease; Infectious disease; Environmental health; Cancer; Respiratory disease; Maternal/child health; Opioids; Drug overdose; Vital statistics; Dashboards; Reports</t>
  </si>
  <si>
    <t>South Carolina; SC; DPH; public health; surveillance; dashboards; reports; chronic disease; infectious disease; cancer; opioid; overdose; respiratory disease; COVID-19; flu; RSV; environmental health; vital statistics; births; deaths; county</t>
  </si>
  <si>
    <t>South Carolina public health; Chronic disease; Infectious disease; Environmental health; Cancer; Opioid and drug trends; Maternal and child health; Vital statistics; Respiratory disease; Injury and mortality</t>
  </si>
  <si>
    <t>South Carolina residents represented in public health reports, dashboards, surveillance systems, and vital statistics</t>
  </si>
  <si>
    <t>South Carolina</t>
  </si>
  <si>
    <t>Yes; restricted for individual level;</t>
  </si>
  <si>
    <t>Varies by dashboard/report</t>
  </si>
  <si>
    <t>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t>
  </si>
  <si>
    <t>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t>
  </si>
  <si>
    <t>SCANDHEC/SCAN; SC Vital Statistics; South Carolina Cancer Registry; SC RFA Health Statistics; CDC PLACES; BRFSS; CDC WONDER; ACS; County Health Rankings; CDC/ATSDR SVI</t>
  </si>
  <si>
    <t>Public outputs are generally aggregated and may suppress small cells; restricted individual-level or confidential data require formal application, review, IRB approval, and possible fees; availability and access rules vary by topic/program.</t>
  </si>
  <si>
    <t>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t>
  </si>
  <si>
    <t>DS-056</t>
  </si>
  <si>
    <t>SCANDHEC / SC public health tables</t>
  </si>
  <si>
    <t>SCANDHEC (DHEC Applications)</t>
  </si>
  <si>
    <t>https://apps.dhec.sc.gov/Health/scan/</t>
  </si>
  <si>
    <t>User-specified South Carolina public health tables and maps, including births and other state health datasets</t>
  </si>
  <si>
    <t>Vital statistics; Births; Deaths; Pregnancy; Population; Maternal/child health; Mortality; Cancer; BRFSS; Public health surveillance; Community health; Interactive maps; Public health tables</t>
  </si>
  <si>
    <t>South Carolina; SC; DHEC; DPH; SCAN; public health; vital statistics; births; deaths; pregnancy; mortality; cancer; BRFSS; population; county; ZIP code; tables; maps; community health; health indicators</t>
  </si>
  <si>
    <t>South Carolina public health; Vital statistics; Births; Deaths; Pregnancy; Mortality; Cancer incidence and mortality; Population; Community health indicators; Health behavior data</t>
  </si>
  <si>
    <t>South Carolina residents represented in public health, vital statistics, population, and selected health indicator tables</t>
  </si>
  <si>
    <t>Varies by dataset; births 1990–2024, population 1990–2020, deaths 1990–2023</t>
  </si>
  <si>
    <t>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t>
  </si>
  <si>
    <t>South Carolina public health surveillance; county and ZIP-level vital statistics analyses; maternal and child health monitoring; mortality trend analyses; community health assessment; local health planning; public health mapping and dashboard exploration</t>
  </si>
  <si>
    <t>SC DPH Public Health Data; SC Vital Statistics; South Carolina Cancer Registry; BRFSS; ACS; CDC PLACES; CDC WONDER; County Health Rankings</t>
  </si>
  <si>
    <t>Interactive table/map system rather than a clean bulk-download research dataset; dataset availability, years, variables, and geographies vary by module; some datasets may be disabled or unavailable; website is a little old and may be unpredictable in terms of usability</t>
  </si>
  <si>
    <t>Open/public interactive query system with confidentiality rules applied; users can generate tables, charts, maps, and downloadable/copyable outputs; password-protected access exists for users authorized to access data without confidentiality rules.</t>
  </si>
  <si>
    <t>DS-057</t>
  </si>
  <si>
    <t>SCDHHS Reports and Statistics</t>
  </si>
  <si>
    <t>SCDHHS Data &amp; Reports (SCDHHS)</t>
  </si>
  <si>
    <t>https://www.scdhhs.gov/data-and-research/reports-and-statistics</t>
  </si>
  <si>
    <t>South Carolina Medicaid enrollment and program reports</t>
  </si>
  <si>
    <t>South Carolina/local data; Medicaid; CHIP; Healthy Connections; Enrollment; Eligibility; Managed care; Providers; Health care utilization; Reports; Dashboards; Transparency</t>
  </si>
  <si>
    <t>South Carolina; SC; SCDHHS; Medicaid; Healthy Connections; CHIP; enrollment; eligibility; managed care; providers; utilization; reports; statistics; dashboard; transparency; beneficiaries; health coverage</t>
  </si>
  <si>
    <t>South Carolina Medicaid; Healthy Connections Medicaid; Medicaid enrollment; Eligibility reviews; Managed care; Provider reporting; Health care coverage; Health care utilization; Transparency reporting</t>
  </si>
  <si>
    <t>South Carolina Medicaid, CHIP, and Healthy Connections members, applicants, providers, and contracted organizations</t>
  </si>
  <si>
    <t>No for public reports; Unknown/possible for requested Medicaid data &amp; other datasets</t>
  </si>
  <si>
    <t>Varies by report/dashboard</t>
  </si>
  <si>
    <t>Quarterly/Annually; Varies by report/dashboard;</t>
  </si>
  <si>
    <t>Medicaid enrollment; Eligibility review measures; Member counts; Healthy Connections Medicaid measures; CHIP-related measures; Managed care information; Provider-related measures; Contracted organization reports; Dashboard indicators; Reporting period; South Carolina statewide statistics</t>
  </si>
  <si>
    <t>South Carolina Medicaid enrollment monitoring; Medicaid eligibility review tracking; health coverage transparency; state Medicaid program reporting; managed care and provider reporting; local health policy context; dashboard-based public reporting</t>
  </si>
  <si>
    <t>SCDHHS Medicaid Data Requests; SC RFA Health Statistics and Demographics; SCHealthData.org; CMS Data; ACS; CDC PLACES; County Health Rankings</t>
  </si>
  <si>
    <t>Open/public reports and dashboards; formal Medicaid data requests may be required for nonpublic or person-level data; verify documentation, citation guidance, reporting period, and privacy/suppression rules.</t>
  </si>
  <si>
    <t>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t>
  </si>
  <si>
    <t>Needs review</t>
  </si>
  <si>
    <t>DS-058</t>
  </si>
  <si>
    <t>SC Health Data</t>
  </si>
  <si>
    <t>SCHealthData.org (schealthdata.org)</t>
  </si>
  <si>
    <t>https://schealthdata.org/</t>
  </si>
  <si>
    <t>South Carolina hospitals, FQHCs, nursing homes, health care provider transparency data</t>
  </si>
  <si>
    <t>South Carolina/local data; Medicaid; Health care providers; Hospitals; FQHCs; Nursing homes; Provider transparency; Health care utilization; Financial measures</t>
  </si>
  <si>
    <t>South Carolina; SC; Medicaid; Healthy Connections; providers; hospitals; FQHC; nursing homes; profitability; patient visits; provider pay; transparency; SCDHHS; health care data; utilization; local health data</t>
  </si>
  <si>
    <t>South Carolina health care providers; Medicaid; Hospitals; FQHCs; Nursing homes; Provider transparency; Health care utilization; Financial performance; Patient visits; Executive compensation</t>
  </si>
  <si>
    <t>South Carolina health care providers, including hospitals, FQHCs, and nursing homes</t>
  </si>
  <si>
    <t>2014-Present</t>
  </si>
  <si>
    <t>unknown</t>
  </si>
  <si>
    <t>Provider type; Hospital measures; FQHC measures; Nursing home measures; Patient visits; Profitability; Financial indicators; Staff compensation; Medicaid-related provider information; Facility/provider characteristics; South Carolina provider transparency measures</t>
  </si>
  <si>
    <t>South Carolina health care provider transparency; hospital, FQHC, and nursing home comparisons; Medicaid provider landscape analyses; patient visit and utilization summaries; financial performance analyses; local health care access and provider capacity research</t>
  </si>
  <si>
    <t>SCDHHS Medicaid Data; SC Hospital Discharge Data; CMS Care Compare; ACS; County Health Rankings; CDC PLACES</t>
  </si>
  <si>
    <t>No clear bulk data download portal found; provider-focused transparency information may vary by source and provider type; verify available datasets, measure definitions, and reporting years before analysis.</t>
  </si>
  <si>
    <t>Open/public provider transparency source maintained by SCDHHS; verify source documentation, reporting year, partner agency attribution, and citation guidance.</t>
  </si>
  <si>
    <t>DS-059</t>
  </si>
  <si>
    <t>CDC EPHTrackR R package / Tracking API</t>
  </si>
  <si>
    <t>CDCgov/EPHTrackR: R interface to the CDC National Public Health Tracking Network API</t>
  </si>
  <si>
    <t>DS-060</t>
  </si>
  <si>
    <t>Daily Census Tract-Level PM2.5 Concentrations, 2016-2020</t>
  </si>
  <si>
    <t>Daily Census Tract-Level PM2.5 Concentrations, 2016 - 2020 | Data | Centers for Disease Control and Prevention</t>
  </si>
  <si>
    <t>DS-061</t>
  </si>
  <si>
    <t>EPA EnviroAtlas</t>
  </si>
  <si>
    <t>https://www.epa.gov/enviroatlas</t>
  </si>
  <si>
    <t>Geospatial environmental, demographic, ecosystem services, land cover, green space, heat, and community indicators.</t>
  </si>
  <si>
    <t>DS-062</t>
  </si>
  <si>
    <t>CDC WONDER Environmental Data</t>
  </si>
  <si>
    <t>CDC / GitHub</t>
  </si>
  <si>
    <t>Environmental data query system with place, time, and measure dimensions.</t>
  </si>
  <si>
    <t>SDOH/geospatial; Climate; Air quality; Environmental monitoring; Area-level data; Historical data</t>
  </si>
  <si>
    <t>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t>
  </si>
  <si>
    <t>Air temperature; heat index; extreme heat; heat waves; PM2.5; outdoor air quality; land surface temperature; sunlight; solar irradiation; precipitation</t>
  </si>
  <si>
    <t>Residents of the 48 contiguous United States, represented through county-level environmental exposure measures</t>
  </si>
  <si>
    <t>Varies by dataset; 1979–2011 overall</t>
  </si>
  <si>
    <t>Static/historical; no regular refresh indicated</t>
  </si>
  <si>
    <t>Daily air temperature; minimum and maximum temperature; heat index; degree days; PM2.5 concentration; land surface temperature; sunlight/solar irradiation; precipitation; heat-wave days; date; state; county; number of observations; range; standard deviation</t>
  </si>
  <si>
    <t>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t>
  </si>
  <si>
    <t>CDC WONDER mortality and natality data; CDC Environmental Public Health Tracking Network; EPA Air Quality System/AirData; EPA EnviroAtlas; NOAA climate data; U.S. Census population estimates; American Community Survey; CDC/ATSDR Social Vulnerability Index</t>
  </si>
  <si>
    <t>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t>
  </si>
  <si>
    <t>Public aggregate data for statistical reporting and analysis; users must accept CDC WONDER data-use restrictions; do not attempt to identify individuals or link data for re-identification; cite the relevant source dataset and methodology when publishing results.</t>
  </si>
  <si>
    <t>DS-063</t>
  </si>
  <si>
    <t>CDC Heat and Health Tracker</t>
  </si>
  <si>
    <t>CDC Tracking Network</t>
  </si>
  <si>
    <t>Interactive dashboard integrating local heat exposure, heat-related health outcomes, community vulnerability, and preparedness information to support extreme-heat surveillance, planning, and response.</t>
  </si>
  <si>
    <t>Public interactive dashboard; related Tracking Network data may also be accessed through maps, tables, Quick Reports, downloads, and API services.</t>
  </si>
  <si>
    <t>Climate; Extreme heat; Heat-related illness; SDOH/geospatial; Emergency preparedness; Environmental health surveillance; Community vulnerability; Area-level data</t>
  </si>
  <si>
    <t>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t>
  </si>
  <si>
    <t>Extreme heat; heat exposure; temperature; heat index; HeatRisk forecasts; heat-related emergency department visits; heat-related hospitalizations; heat-related mortality; heat vulnerability; climate projections; community preparedness</t>
  </si>
  <si>
    <t>Residents of the United States, including populations vulnerable to heat-related health effects such as older adults, young children, pregnant people, outdoor workers, athletes, and people with chronic health conditions.</t>
  </si>
  <si>
    <t>County/Zip Code/HHS Region, depending on indicator</t>
  </si>
  <si>
    <t>Varies by indicator; includes historical, near-real-time, 7-day forecast, and future-projection data</t>
  </si>
  <si>
    <t>Ongoing; daily or near-real-time for selected measures, with periodic updates for historical and vulnerability indicators</t>
  </si>
  <si>
    <t>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t>
  </si>
  <si>
    <t>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t>
  </si>
  <si>
    <t>CDC Environmental Public Health Tracking Network; National Syndromic Surveillance Program; National Weather Service HeatRisk; CDC Heat and Health Index; CDC/ATSDR Social Vulnerability Index; NOAA climate data; American Community Survey; CDC WONDER mortality data; EPA AirNow</t>
  </si>
  <si>
    <t>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t>
  </si>
  <si>
    <t>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t>
  </si>
  <si>
    <t>DS-064</t>
  </si>
  <si>
    <t>CDC/ATSDR Environmental Justice Index (EJI)</t>
  </si>
  <si>
    <t>https://www.atsdr.cdc.gov/place-health/php/eji/index.html</t>
  </si>
  <si>
    <t>National census-tract-level index for identifying communities experiencing cumulative environmental, social, and health burdens and supporting environmental justice, health equity, resource allocation, and place-based public health research.</t>
  </si>
  <si>
    <t>Public interactive map and downloadable census-tract data in CSV, Excel, and geodatabase formats</t>
  </si>
  <si>
    <t>Environmental exposure; Health equity; Environmental justice; Social vulnerability; Community vulnerability; Climate; Built environment; Area-level data; Health disparities</t>
  </si>
  <si>
    <t>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t>
  </si>
  <si>
    <t>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t>
  </si>
  <si>
    <t>Residents of census tracts in the continental United States, represented through community-level environmental, social, health, and climate indicators</t>
  </si>
  <si>
    <t>2022 and 2024 editions; indicator reference years vary by source</t>
  </si>
  <si>
    <t>Approximately every two years</t>
  </si>
  <si>
    <t>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t>
  </si>
  <si>
    <t>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t>
  </si>
  <si>
    <t>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t>
  </si>
  <si>
    <t>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t>
  </si>
  <si>
    <t>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t>
  </si>
  <si>
    <t xml:space="preserve">NS </t>
  </si>
  <si>
    <t>DS-065</t>
  </si>
  <si>
    <t>CDC</t>
  </si>
  <si>
    <t>DS-066</t>
  </si>
  <si>
    <t>EPA EJScreen</t>
  </si>
  <si>
    <t>Environmental justice screening and mapping tool combining nationally consistent environmental burden, socioeconomic, demographic, health-disparity, climate, and service-gap indicators to identify communities that may warrant additional analysis, outreach, or public-health attention.</t>
  </si>
  <si>
    <t>Public mapping and screening tool with publicly available technical documentation and area-level results; availability of the original interactive application and bulk downloads should be verified for the intended analysis.</t>
  </si>
  <si>
    <t>SDOH/geospatial; Environmental justice; Social vulnerability; Health equity; Air pollution; Hazardous sites; Drinking water; Built environment; Health disparities; Climate; Area-level data</t>
  </si>
  <si>
    <t>EPA EJScreen; EJSCREEN; environmental justice; EJ index; supplemental index; demographic index; environmental burden; pollution burden; socioeconomic vulnerability; census block group; PM2.5; ozone; nitrogen dioxide; diesel particulate matter; toxic releases; traffic proximity; lead paint; Superfund; hazardous waste; RMP facilities; underground storage tanks; wastewater discharge; drinking water non-compliance; health disparities; climate change; critical service gaps; HIV disparities</t>
  </si>
  <si>
    <t>Environmental justice; PM2.5; ozone; nitrogen dioxide; diesel particulate matter; toxic releases to air; traffic exposure; lead-paint exposure; Superfund sites; chemical-accident facilities; hazardous-waste facilities; underground storage tanks; wastewater pollution; drinking-water non-compliance; socioeconomic vulnerability; health disparities; climate hazards; service gaps</t>
  </si>
  <si>
    <t>Residents of the United States and included U.S. territories, represented through community-level environmental, socioeconomic, demographic, and health indicators</t>
  </si>
  <si>
    <t>Census block group</t>
  </si>
  <si>
    <t>Version 2.3 released in 2024; underlying source years vary, primarily 2018–2023</t>
  </si>
  <si>
    <t>PM2.5; ozone; nitrogen dioxide; diesel particulate matter; toxic releases to air; traffic proximity and volume; lead-paint proxy; Superfund proximity; Risk Management Plan facility proximity; hazardous-waste proximity; underground and leaking underground storage tanks; wastewater discharge; drinking-water non-compliance; demographic index; supplemental demographic index; EJ index percentiles; supplemental index percentiles; state and national percentiles</t>
  </si>
  <si>
    <t>Identify communities with elevated environmental and socioeconomic burdens; characterize neighborhood context for HIV diagnoses and care outcomes; examine geographic disparities in testing, linkage to care, retention, and viral suppression; prioritize outreach, mobile services, prevention, and community engagement; assess environmental burden near health-service locations; compare South Carolina communities using state and national percentiles; generate hypotheses for detailed exposure or health-equity studies</t>
  </si>
  <si>
    <t>CDC/ATSDR Environmental Justice Index; CDC/ATSDR Social Vulnerability Index; American Community Survey; EPA AirData/AQS; EPA Toxics Release Inventory; EPA Envirofacts; EPA Superfund data; CDC PLACES; NCHHSTP AtlasPlus; AIDSVu; CDC National HIV Surveillance System; Ryan White HIV/AIDS Program data; South Carolina HIV surveillance data; Census TIGER/Line shapefiles</t>
  </si>
  <si>
    <t>Screening-level tool rather than a risk assessment or designation of an environmental justice community. Percentiles are relative rankings and do not establish health or legal thresholds. Some block-group values are inherited or modeled from tract-level or gridded source data. Proximity scores are population-weighted proxies based on inverse distance and do not represent measured individual exposure. Source years and methods vary by indicator. High percentiles indicate relative rarity, not necessarily elevated health risk.</t>
  </si>
  <si>
    <t>Public aggregate area-level information with no identifiable individual records. Linking EJScreen to geocoded HIV surveillance, clinical, or Ryan White data requires compliance with the confidentiality, suppression, IRB, and data-use requirements of the health dataset. Avoid publishing small-area HIV results that could permit indirect identification. Do not assign block-group characteristics to individuals as though they were personally measured exposures or attributes.</t>
  </si>
  <si>
    <t>DS-067</t>
  </si>
  <si>
    <t>EPA AirData</t>
  </si>
  <si>
    <t>EPA</t>
  </si>
  <si>
    <t>Public portal for downloading, querying, mapping, visualizing, and summarizing recent and historical ambient air-quality measurements collected at outdoor monitoring sites across the United States.</t>
  </si>
  <si>
    <t>Public web reports, visualizations, maps, downloadable files, and API access; an API key is required for customized AQS API queries.</t>
  </si>
  <si>
    <t>Air quality; Environmental monitoring; SDOH/geospatial; Ambient air pollution; Exposure assessment; Regulatory monitoring; Area-level data; Time-series data</t>
  </si>
  <si>
    <t>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t>
  </si>
  <si>
    <t>Ambient air quality; PM2.5; PM10; ozone; nitrogen dioxide; sulfur dioxide; carbon monoxide; lead; air toxics; hazardous air pollutants; particle speciation; Air Quality Index; meteorology; regulatory monitoring</t>
  </si>
  <si>
    <t>Residents and populations living near covered outdoor air-monitoring locations in the United States, Puerto Rico, and the U.S. Virgin Islands</t>
  </si>
  <si>
    <t>Monitoring site; county; city/CBSA; state</t>
  </si>
  <si>
    <t>Varies by pollutant and monitor; measurements extend back to 1957, with greater national consistency beginning around 1980; standard downloadable files generally available from 1990 onward</t>
  </si>
  <si>
    <t>Ongoing; AQS Data Mart updated weekly, with pre-generated files updated twice annually</t>
  </si>
  <si>
    <t>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t>
  </si>
  <si>
    <t>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t>
  </si>
  <si>
    <t>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t>
  </si>
  <si>
    <t>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t>
  </si>
  <si>
    <t>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t>
  </si>
  <si>
    <t>DS-068</t>
  </si>
  <si>
    <t>EPA AQS API</t>
  </si>
  <si>
    <t>EPA / ArcGIS / Data.gov</t>
  </si>
  <si>
    <t>Same as EPA AirData</t>
  </si>
  <si>
    <t>Programmatic access method for customized retrieval of data from EPA’s Air Quality System, the same underlying monitoring repository represented by EPA AirData.</t>
  </si>
  <si>
    <t>Do not use</t>
  </si>
  <si>
    <t>DS-069</t>
  </si>
  <si>
    <t>EPA AirToxScreen</t>
  </si>
  <si>
    <t>National screening assessment that models ambient concentrations, population exposures, lifetime cancer risks, and chronic noncancer hazards associated with hazardous air pollutants to help identify pollutants, emission sources, and locations that may warrant further study.</t>
  </si>
  <si>
    <t>Public website, mapping tool, technical documentation, and downloadable national and state-level assessment files</t>
  </si>
  <si>
    <t>Air quality; Air toxics; Hazardous air pollutants; Exposure modeling; Cancer risk; Health risk screening; Environmental justice; SDOH/geospatial; Area-level data</t>
  </si>
  <si>
    <t>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t>
  </si>
  <si>
    <t>Hazardous air pollutants; air toxics; ambient concentrations; inhalation exposure; lifetime cancer risk; respiratory noncancer hazards; point-source emissions; mobile-source emissions; nonpoint emissions; wildfire and fire emissions; background pollution; environmental health disparities</t>
  </si>
  <si>
    <t>Residents of the United States, represented through modeled population exposure to outdoor hazardous air pollutants at small-area geographic levels</t>
  </si>
  <si>
    <t>Census block; census tract; county; state, depending on assessment year and output</t>
  </si>
  <si>
    <t>Annual AirToxScreen assessments beginning with 2017; latest verified assessment year is 2020; earlier comparable NATA assessments are available separately</t>
  </si>
  <si>
    <t>Annual assessment program; releases lag the emissions year because of inventory development, modeling, review, and quality assurance</t>
  </si>
  <si>
    <t>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t>
  </si>
  <si>
    <t>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t>
  </si>
  <si>
    <t>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t>
  </si>
  <si>
    <t>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t>
  </si>
  <si>
    <t>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t>
  </si>
  <si>
    <t>DS-070</t>
  </si>
  <si>
    <t>EPA National Emissions Inventory (NEI)</t>
  </si>
  <si>
    <t>https://www.epa.gov/air-emissions-inventories/national-emissions-inventory-nei</t>
  </si>
  <si>
    <t>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t>
  </si>
  <si>
    <t>Public webpages, downloadable inventory files, summaries, technical documentation, and online retrieval tools</t>
  </si>
  <si>
    <t>Air emissions; Air quality; Hazardous air pollutants; Criteria pollutants; Industrial facilities; Mobile sources; Fires; Source inventory; Environmental modeling; Area-level data</t>
  </si>
  <si>
    <t>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t>
  </si>
  <si>
    <t>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t>
  </si>
  <si>
    <t>Residents of the United States and territories potentially affected by air emissions from inventoried sources</t>
  </si>
  <si>
    <t>Facility; emission unit; county; Tribal area; state, depending on source category and file</t>
  </si>
  <si>
    <t>Full triennial inventories available for multiple years from 1990 through 2020; 2023 release pending or in final publication process as of 2026; additional annual modeling platforms and emissions summaries are available for selected years</t>
  </si>
  <si>
    <t>Every three years for the full NEI; supplemental modeling platforms and trend products updated more frequently</t>
  </si>
  <si>
    <t>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t>
  </si>
  <si>
    <t>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t>
  </si>
  <si>
    <t>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t>
  </si>
  <si>
    <t>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t>
  </si>
  <si>
    <t>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t>
  </si>
  <si>
    <t>DS-071</t>
  </si>
  <si>
    <t>EPA Toxics Release Inventory (TRI)</t>
  </si>
  <si>
    <t>https://www.epa.gov/toxics-release-inventory-tri-program</t>
  </si>
  <si>
    <t>Annual facility-level data on toxic chemical releases, waste management, off-site transfers, recycling, treatment, energy recovery, and pollution-prevention activities reported by covered industrial and federal facilities.</t>
  </si>
  <si>
    <t>Public interactive tools, maps, reports, downloadable annual files, facility records, and Envirofacts searches</t>
  </si>
  <si>
    <t>Industrial pollution; Toxic chemicals; Facility-level data; Environmental justice; Pollution prevention; Air releases; Water releases; Land disposal; Waste management; Longitudinal data</t>
  </si>
  <si>
    <t>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t>
  </si>
  <si>
    <t>Toxic chemical releases; industrial emissions; air pollution; surface-water discharges; underground injection; land disposal; off-site waste transfers; chemical recycling; energy recovery; treatment; pollution prevention; source reduction; facility environmental performance</t>
  </si>
  <si>
    <t>Residents and communities potentially affected by toxic chemical releases and waste-management activities from covered industrial and federal facilities in the United States and territories</t>
  </si>
  <si>
    <t>Facility; ZIP code; county; state; tribal area</t>
  </si>
  <si>
    <t>1987–present; latest complete files currently include reporting year 2024, with prior-year submissions subject to revision</t>
  </si>
  <si>
    <t>Annual, with preliminary data followed by complete data and later revisions</t>
  </si>
  <si>
    <t>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t>
  </si>
  <si>
    <t>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t>
  </si>
  <si>
    <t>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t>
  </si>
  <si>
    <t>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t>
  </si>
  <si>
    <t>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t>
  </si>
  <si>
    <t>DS-072</t>
  </si>
  <si>
    <t>EPA Risk-Screening Environmental Indicators (RSEI)</t>
  </si>
  <si>
    <t>https://www.epa.gov/rsei</t>
  </si>
  <si>
    <t>Screening-level model that places TRI-reported toxic chemical releases and waste-management activities into a relative health-impact context by incorporating chemical toxicity, environmental fate and transport, modeled exposure pathways, and potentially exposed populations.</t>
  </si>
  <si>
    <t>Public website, interactive EasyRSEI dashboard, downloadable model results, geographic microdata, technical documentation, and data dictionary</t>
  </si>
  <si>
    <t>Toxic chemicals; Industrial pollution; Environmental justice; Exposure modeling; Risk screening; Cancer risk; Noncancer effects; Facility-level data; Geospatial data; Longitudinal data</t>
  </si>
  <si>
    <t>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t>
  </si>
  <si>
    <t>Toxic chemical releases; industrial pollution; modeled air exposure; modeled water exposure; chemical toxicity; environmental fate and transport; chronic cancer effects; chronic noncancer effects; population exposure; facility prioritization; environmental justice; pollution trends</t>
  </si>
  <si>
    <t>Residents of the United States potentially affected by modeled air and water pathways from TRI-reporting industrial and federal facilities</t>
  </si>
  <si>
    <t>810-meter grid cell; Census block group; census tract; ZIP code; county; facility; state, depending on product</t>
  </si>
  <si>
    <t>TRI reporting years 1988–2022 in RSEI Version 2.3.12; EasyRSEI standard dashboard emphasizes 2013–2022</t>
  </si>
  <si>
    <t>Annual model release following updated TRI reporting data; all historical years are recalculated using the latest model methodology</t>
  </si>
  <si>
    <t>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t>
  </si>
  <si>
    <t>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t>
  </si>
  <si>
    <t>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t>
  </si>
  <si>
    <t>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t>
  </si>
  <si>
    <t>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t>
  </si>
  <si>
    <t>DS-073</t>
  </si>
  <si>
    <t>EPA Enforcement and Compliance History Online (ECHO)</t>
  </si>
  <si>
    <t>https://echo.epa.gov/</t>
  </si>
  <si>
    <t>Integrated public portal for locating regulated facilities and examining environmental permits, inspections, compliance status, violations, enforcement actions, penalties, pollutant discharges, and surrounding community characteristics across major federal environmental programs.</t>
  </si>
  <si>
    <t>Public facility searches, detailed facility reports, dashboards, maps, bulk downloads, map services, and query-only web services; optional user accounts support selected notification or saved-search functions.</t>
  </si>
  <si>
    <t>Regulatory compliance; Environmental enforcement; Facility-level data; Industrial pollution; Drinking water; Wastewater; Hazardous waste; Air regulation; Environmental justice; Permits; Inspections; Longitudinal data</t>
  </si>
  <si>
    <t>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t>
  </si>
  <si>
    <t>Environmental regulation; facility compliance; permits; inspections; violations; enforcement actions; penalties; air-program compliance; wastewater and stormwater discharges; drinking-water compliance; hazardous-waste regulation; pollutant loadings; industrial facilities; community demographics</t>
  </si>
  <si>
    <t>Residents and communities located near or served by regulated facilities, public water systems, wastewater systems, hazardous-waste handlers, and other entities covered by EPA environmental programs</t>
  </si>
  <si>
    <t>Facility; public water system; permitted discharge point; county; state; watershed</t>
  </si>
  <si>
    <t>Varies by regulatory program and product; facility searches generally display five years of inspection and enforcement history, detailed facility reports provide approximately ten years, formal EPA enforcement cases may include all available years, and bulk downloads may provide additional history.</t>
  </si>
  <si>
    <t>Typically weekly, with schedules varying by contributing EPA data system</t>
  </si>
  <si>
    <t>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t>
  </si>
  <si>
    <t>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t>
  </si>
  <si>
    <t>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t>
  </si>
  <si>
    <t>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t>
  </si>
  <si>
    <t>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t>
  </si>
  <si>
    <t>DS-074</t>
  </si>
  <si>
    <t>EPA Facility Registry Service (FRS)</t>
  </si>
  <si>
    <t>https://www.epa.gov/frs</t>
  </si>
  <si>
    <t>Central facility-identification and geospatial registry that consolidates facility names, locations, identifiers, industrial classifications, and environmental-program affiliations from EPA, state, Tribal, and other partner systems to support facility matching and cross-dataset linkage.</t>
  </si>
  <si>
    <t>Public facility search, downloadable state and national CSV files, geospatial downloads, REST APIs, ArcGIS map services, and custom query tools; selected intergovernmental or internal services require authentication.</t>
  </si>
  <si>
    <t>SDOH/geospatial; Facility registry; Environmental regulation; Data integration; Facility identifiers; Industrial facilities; Geocoding; Cross-dataset linkage; Area-level data</t>
  </si>
  <si>
    <t>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t>
  </si>
  <si>
    <t>Environmental facilities; regulated sites; industrial facilities; facility identification; facility geolocation; air programs; water programs; hazardous waste; toxic releases; contaminated sites; drinking-water systems; wastewater facilities; environmental data integration</t>
  </si>
  <si>
    <t>Residents and communities located near facilities, sites, public water systems, wastewater facilities, and other locations represented in EPA or partner environmental-program systems</t>
  </si>
  <si>
    <t>Facility or site</t>
  </si>
  <si>
    <t>Current integrated facility registry; availability and historical coverage of linked program records vary by contributing system</t>
  </si>
  <si>
    <t>Continuous, weekly, biweekly, or monthly depending on the contributing program system</t>
  </si>
  <si>
    <t>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t>
  </si>
  <si>
    <t>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t>
  </si>
  <si>
    <t>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t>
  </si>
  <si>
    <t>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t>
  </si>
  <si>
    <t>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t>
  </si>
  <si>
    <t>DS-075</t>
  </si>
  <si>
    <t>EPA Superfund Data and Reports / NPL Sites</t>
  </si>
  <si>
    <t>Official national repository and search system for identifying active and archived Superfund sites and examining site location, National Priorities List status, contaminants, affected media, site assessment, cleanup actions, remedies, enforcement activities, and remediation progress.</t>
  </si>
  <si>
    <t>Public SEMS search, NPL site tables and maps, site profiles, downloadable reports, document collections, and separate geospatial boundary data; bulk products are distributed across multiple EPA pages and formats.</t>
  </si>
  <si>
    <t>SDOH/geospatial; Contaminated sites; Hazardous waste; Superfund; Environmental justice; Cleanup and remediation; Facility-level data; Soil contamination; Groundwater contamination; Historical data</t>
  </si>
  <si>
    <t>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t>
  </si>
  <si>
    <t>Hazardous-waste sites; contaminated land; soil contamination; groundwater contamination; surface-water contamination; sediment contamination; site assessment; remediation; cleanup status; contaminants of concern; institutional controls; engineering controls; enforcement and settlements</t>
  </si>
  <si>
    <t>Residents and communities located near active, archived, proposed, final, or deleted Superfund and related hazardous-waste sites in the United States and territories</t>
  </si>
  <si>
    <t>Superfund site; facility; site boundary; county; state</t>
  </si>
  <si>
    <t>1983–present in SEMS; selected historical CERCLIS records and Superfund actions extend to earlier program years</t>
  </si>
  <si>
    <t>Ongoing; update schedule varies by SEMS product, report, and site record</t>
  </si>
  <si>
    <t>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t>
  </si>
  <si>
    <t>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t>
  </si>
  <si>
    <t>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t>
  </si>
  <si>
    <t>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t>
  </si>
  <si>
    <t>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t>
  </si>
  <si>
    <t>DS-076</t>
  </si>
  <si>
    <t>EnviroAtlas for Brownfields</t>
  </si>
  <si>
    <t>https://epa.maps.arcgis.com/home/item.html?id=e5f95175f9184d508be636377796f1c2</t>
  </si>
  <si>
    <t>Curated collection of national geospatial layers supporting Brownfields grant applications, community assessment, cleanup planning, redevelopment, environmental justice analysis, and evaluation of environmental, demographic, health, infrastructure, and community conditions surrounding Brownfields projects.</t>
  </si>
  <si>
    <t>Public ArcGIS web map and EnviroAtlas Interactive Map collection; underlying map layers can be viewed and, depending on the individual service, queried or downloaded.</t>
  </si>
  <si>
    <t>Brownfields; Environmental exposure; Environmental justice; Community vulnerability; Land revitalization; Demographics; Health indicators; Ecosystem services; Infrastructure; Grant planning</t>
  </si>
  <si>
    <t>EnviroAtlas for Brownfields; EPA Brownfields; Brownfields Featured Collection; brownfield redevelopment; contaminated properties; environmental justice; community vulnerability; grant application; land revitalization; demographic indicators; environmental indicators; health indicators; ecosystem services; ACRES; Brownfields site locations</t>
  </si>
  <si>
    <t>Brownfields planning; environmental justice; community demographics; environmental conditions; public health indicators; contaminated-site context; redevelopment; transportation; green space; ecosystem services; community assets and vulnerabilities</t>
  </si>
  <si>
    <t>Residents and communities surrounding existing or potential Brownfields projects and areas being considered for EPA Brownfields funding or redevelopment</t>
  </si>
  <si>
    <t>Varies by layer; Brownfields site, census block group, census tract, county, watershed, community, and raster grid</t>
  </si>
  <si>
    <t>Varies by underlying layer and data provider</t>
  </si>
  <si>
    <t>Varies by underlying layer; collection membership and individual services may be updated independently</t>
  </si>
  <si>
    <t>Brownfields or regulated-site locations; population characteristics; income and poverty; race and ethnicity; age; housing; health indicators; transportation access; land cover; green space; water resources; air and environmental conditions; ecosystem services; community assets; environmental burdens; census geographic identifiers</t>
  </si>
  <si>
    <t>Describe communities surrounding Brownfields properties; identify environmental and social vulnerabilities; support EPA Brownfields grant narratives; compare potential redevelopment areas; evaluate access to green space and community assets; link Brownfields locations with HIV, health-disparity, demographic, and environmental indicators; generate community maps and screening profiles</t>
  </si>
  <si>
    <t>EPA ACRES Brownfields Properties; EPA Facility Registry Service; EPA Cleanups in My Community; EPA EJScreen; CDC/ATSDR Environmental Justice Index; American Community Survey; Census TIGER/Line; state Brownfields and voluntary-cleanup records</t>
  </si>
  <si>
    <t>This is a curated web-map collection rather than a single standardized dataset. Layer definitions, dates, geographic units, coverage, methods, and update schedules differ. Inclusion in the collection does not mean that every layer directly measures Brownfields contamination or exposure. Some indicators describe general community context. Brownfields locations may represent properties receiving EPA funding or assistance rather than a comprehensive inventory of all potentially contaminated properties. Users must review the metadata for every layer used.</t>
  </si>
  <si>
    <t>Public area-level data with no identifiable individual health records. Linking the layers to protected HIV, clinical, claims, or surveillance records requires compliance with the governance requirements of those health datasets. Document every selected layer, source year, geographic unit, extraction date, and spatial-linkage method.</t>
  </si>
  <si>
    <t>DS-077</t>
  </si>
  <si>
    <t>EPA Brownfields Site Information</t>
  </si>
  <si>
    <t>https://map22.epa.gov/cimc/brownfields</t>
  </si>
  <si>
    <t>Public property-level information on Brownfields addressed using EPA funding or technical assistance, including property location, assessment activities, potential or confirmed contamination, cleanup progress, controls, redevelopment, and reuse accomplishments.</t>
  </si>
  <si>
    <t>Public map, searchable property profiles, Excel and CSV downloads through Cleanups in My Community; full ACRES reporting system restricted to EPA Brownfields staff and authorized grant or contract recipients.</t>
  </si>
  <si>
    <t>SDOH/geospatial; Brownfields; Contaminated sites; Land revitalization; Environmental justice; Cleanup and remediation; Redevelopment; Property-level data; Community development</t>
  </si>
  <si>
    <t>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t>
  </si>
  <si>
    <t>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t>
  </si>
  <si>
    <t>Residents and communities surrounding properties assessed, cleaned up, or redeveloped using EPA Brownfields funding or technical assistance</t>
  </si>
  <si>
    <t>Brownfield property or site; grant jurisdiction; address; county; state</t>
  </si>
  <si>
    <t>1998–present; EPA-funded Brownfields property reporting has been required since 2003</t>
  </si>
  <si>
    <t>Twice monthly; public ACRES data are transferred to CIMC on the 4th and 18th of each month</t>
  </si>
  <si>
    <t>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t>
  </si>
  <si>
    <t>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t>
  </si>
  <si>
    <t>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t>
  </si>
  <si>
    <t>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t>
  </si>
  <si>
    <t>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t>
  </si>
  <si>
    <t>DS-078</t>
  </si>
  <si>
    <t>Water Quality Portal (WQP)</t>
  </si>
  <si>
    <t>https://www.waterqualitydata.us/</t>
  </si>
  <si>
    <t>National portal for discovering, querying, and downloading discrete physical, chemical, biological, and habitat-related water-quality monitoring results from EPA, USGS, and state, Tribal, federal, local, academic, watershed, and volunteer monitoring programs.</t>
  </si>
  <si>
    <t>Public web query, downloadable CSV, tab-delimited and Excel files, geospatial services, and public REST web services; no registration required for data retrieval.</t>
  </si>
  <si>
    <t>Water quality; Environmental monitoring; Surface water; Groundwater; SDOH/geospatial; Aquatic ecosystems; Drinking water; Biological monitoring; Monitoring-site data; Time-series data</t>
  </si>
  <si>
    <t>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t>
  </si>
  <si>
    <t>Water chemistry; surface-water quality; groundwater quality; nutrients; metals; organic chemicals; PFAS; pesticides; pharmaceuticals; pathogens; bacteria; physical water characteristics; sediment; aquatic biology; habitat assessment; drinking-water source quality; watershed condition</t>
  </si>
  <si>
    <t>Water bodies, groundwater resources, sediments, aquatic organisms, and other environmental media represented by samples collected at monitoring locations</t>
  </si>
  <si>
    <t>Monitoring site; water body; watershed/HUC; county; state;</t>
  </si>
  <si>
    <t>Varies by monitoring organization, site, and characteristic; historical and current records through the present</t>
  </si>
  <si>
    <t>Ongoing; varies by contributing organization and source system</t>
  </si>
  <si>
    <t>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t>
  </si>
  <si>
    <t>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t>
  </si>
  <si>
    <t>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t>
  </si>
  <si>
    <t>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t>
  </si>
  <si>
    <t>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t>
  </si>
  <si>
    <t>DS-079</t>
  </si>
  <si>
    <t>How's My Waterway</t>
  </si>
  <si>
    <t>EPA / Data.gov</t>
  </si>
  <si>
    <t>https://mywaterway.epa.gov/</t>
  </si>
  <si>
    <t>Interactive public dashboard integrating local, state, Tribal, and national information on surface-water condition, swimming, fish consumption, aquatic life, impairments, restoration and protection activities, permitted dischargers, discharge violations, drinking water, and water monitoring.</t>
  </si>
  <si>
    <t>Public interactive web application with maps, community, state, Tribal, waterbody, and national reports; selected maps, reports, monitoring results, and ATTAINS information can be printed, exported, or downloaded.</t>
  </si>
  <si>
    <t>Reports/dashboard; SDOH/geospatial; Water quality; Watersheds; Impaired waters; Drinking water; Permitted dischargers; Water monitoring; Restoration; Environmental justice; Public communication</t>
  </si>
  <si>
    <t>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t>
  </si>
  <si>
    <t>Surface-water condition; swimming; fish consumption; aquatic life; impairments; causes of impairment; restoration and protection; permitted wastewater dischargers; discharge violations; drinking-water systems; water monitoring; cyanobacteria; watershed health; state and national water metrics</t>
  </si>
  <si>
    <t>Residents, water users, and communities associated with U.S. watersheds, waterbodies, states, territories, and Tribal areas represented in the application</t>
  </si>
  <si>
    <t>HUC12 watershed; waterbody; community; state; Tribal area; national</t>
  </si>
  <si>
    <t>Varies by component; monitoring records may extend to the late 1800s, while assessment, discharge, drinking-water, restoration, satellite, and other data reflect the periods available in their underlying source systems</t>
  </si>
  <si>
    <t>Ongoing; application releases occur periodically, while underlying datasets refresh on different schedules</t>
  </si>
  <si>
    <t>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t>
  </si>
  <si>
    <t>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t>
  </si>
  <si>
    <t>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t>
  </si>
  <si>
    <t>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t>
  </si>
  <si>
    <t>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t>
  </si>
  <si>
    <t>DS-080</t>
  </si>
  <si>
    <t>EPA ATTAINS</t>
  </si>
  <si>
    <t>https://www.epa.gov/waterdata/attains</t>
  </si>
  <si>
    <t>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t>
  </si>
  <si>
    <t>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t>
  </si>
  <si>
    <t>SDOH/geospatial; Water quality; Impaired waters; Regulatory assessment; TMDL; Surface water; Restoration planning; Watershed management; Area-level data; Longitudinal data</t>
  </si>
  <si>
    <t>EPA ATTAINS; Assessment TMDL Tracking and Implementation System; impaired waters; 303(d) list; 305(b) assessment; Integrated Report; water quality assessment; designated use; use support; assessment unit; cause of impairment; probable source; Total Maximum Daily Load; TMDL; restoration plan; protection approach; surface water; watershed; NHDPlus; South Carolina impaired waters</t>
  </si>
  <si>
    <t>Surface-water condition; designated-use attainment; impaired waters; pathogens; nutrients; dissolved oxygen; metals; sediment; toxic contaminants; fish consumption; recreation; aquatic life; drinking-water source use; TMDLs; restoration plans; protection approaches</t>
  </si>
  <si>
    <t>Surface waters assessed by states, territories, and authorized Tribes, including rivers, streams, lakes, reservoirs, estuaries, coastal waters, wetlands, and Great Lakes waters</t>
  </si>
  <si>
    <t>State-defined assessment unit; waterbody; NHDPlus catchment; HUC12 watershed; state</t>
  </si>
  <si>
    <t>Varies by jurisdiction; includes multiple biennial reporting cycles, historical pre-2015 records, and current assessment and action records</t>
  </si>
  <si>
    <t>Biennial by jurisdiction; geospatial data are updated when an assessment cycle is submitted and again after final EPA action, with services and exports refreshed as new data become available</t>
  </si>
  <si>
    <t>Reporting organization; reporting cycle; assessment unit identifier; assessment unit name; waterbody type; waterbody size and units; state-submitted geometry; HUC and NHDPlus catchment associations; designated use; use-support status; assessed parameter; cause of impairment; probable source of impairment; EPA Integrated Reporting category; 303(d) listing status; priority; action type; TMDL identifier; TMDL pollutant; restoration or protection plan; completion and approval dates; EPA action status</t>
  </si>
  <si>
    <t>Identify impaired or assessed surface waters; determine whether recreational, aquatic-life, fish-consumption, or drinking-water-source uses are supported; analyze causes and probable sources of impairment; locate waters with completed or planned TMDLs; examine changes across assessment cycles; characterize watershed context for public-health and environmental-justice research; link waterbody status with community demographics, health outcomes, or permitted dischargers</t>
  </si>
  <si>
    <t>EPA How's My Waterway; Water Quality Portal; EPA WATERS/NHDPlus; EPA ECHO and NPDES data; EPA Safe Drinking Water Information System; EPA BEACON; EPA EnviroAtlas; CDC/ATSDR Environmental Justice Index; American Community Survey; South Carolina Department of Environmental Services water-quality data</t>
  </si>
  <si>
    <t>ATTAINS contains regulatory assessment decisions rather than individual laboratory sample results. States, territories, and Tribes differ in water-quality standards, assessment methods, monitored parameters, assessment-unit definitions, and reporting schedules, so direct interstate comparisons require caution. Only evaluated waters are represented; absence of an impairment listing does not necessarily indicate good water quality. Assessment-unit boundaries and identifiers may change between cycles. Data currency varies by jurisdiction. Expert Query tables have many-to-many relationships that can create duplicate rows or incorrect counts if records are summarized without identifying the correct unit of analysis.</t>
  </si>
  <si>
    <t>Public waterbody- and area-level information with no identifiable individual health records. Linking ATTAINS data to protected HIV, clinical, claims, or surveillance records requires compliance with the confidentiality, geocoding, suppression, IRB, and data-use requirements of the health dataset. Do not interpret impairment status as an individual exposure or health outcome. Document the jurisdiction, reporting cycle, assessment-unit version, extraction date, parameter, use category, and geographic-linkage method.</t>
  </si>
  <si>
    <t>DS-081</t>
  </si>
  <si>
    <t>EPA WATERS Geospatial Data</t>
  </si>
  <si>
    <t>USGS / EPA / NWQMC</t>
  </si>
  <si>
    <t>https://www.epa.gov/waterdata/waters-geospatial-data-downloads</t>
  </si>
  <si>
    <t>National geospatial framework providing hydrologically connected GIS datasets, stream networks, catchments, watersheds, assessment units, and linked EPA water-program layers for watershed delineation, upstream/downstream tracing, spatial analysis, and integration of EPA water data.</t>
  </si>
  <si>
    <t>Public geodatabases, shapefiles, feature services, ArcGIS REST services, downloadable GIS layers, and web services.</t>
  </si>
  <si>
    <t>SDOH/geospatial; Hydrography; Watersheds; Stream network; GIS; NHDPlus; Catchments; Water resources; Spatial analysis; Hydrologic modeling</t>
  </si>
  <si>
    <t>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t>
  </si>
  <si>
    <t>Hydrography; stream networks; watersheds; catchments; hydrologic connectivity; waterbody geometry; assessment-unit boundaries; watershed delineation; flow-path analysis; GIS integration; environmental spatial analysis</t>
  </si>
  <si>
    <t>Surface-water features and hydrologic units represented in the national hydrographic network</t>
  </si>
  <si>
    <t>Stream reach; flowline; catchment; watershed/HUC; assessment unit; waterbody</t>
  </si>
  <si>
    <t>Current national hydrographic and linked water-program layers; update history varies by individual dataset</t>
  </si>
  <si>
    <t>Varies by dataset; updated as underlying EPA water-program and hydrographic layers are revised</t>
  </si>
  <si>
    <t>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t>
  </si>
  <si>
    <t>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t>
  </si>
  <si>
    <t>EPA ATTAINS; EPA How's My Waterway; Water Quality Portal; EPA NHDPlus; EPA ECHO/NPDES; EPA Safe Drinking Water Information System; EPA EnviroAtlas; USGS National Hydrography Dataset; American Community Survey; Census TIGER/Line</t>
  </si>
  <si>
    <t>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t>
  </si>
  <si>
    <t>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t>
  </si>
  <si>
    <t>DS-082</t>
  </si>
  <si>
    <t>USGS Water Data for the Nation / NWIS</t>
  </si>
  <si>
    <t>https://waterdata.usgs.gov/</t>
  </si>
  <si>
    <t>National access system for current and historical USGS hydrologic and water-quality information collected at monitoring locations, including continuous sensor data, daily values, manual field measurements, discrete environmental samples, monitoring-site metadata, and derived statistics.</t>
  </si>
  <si>
    <t>Public monitoring-location pages, maps, graphs, tables, data downloads, National Water Dashboard, REST/OGC APIs, and R/Python data-access tools; an API key is available for higher request-rate limits.</t>
  </si>
  <si>
    <t>Water quality; Hydrology; Surface water; Groundwater; Streamflow; Water levels; Environmental monitoring; SDOH/geospatial; Monitoring-site data; Time-series data; Real-time data</t>
  </si>
  <si>
    <t>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t>
  </si>
  <si>
    <t>Streamflow; river and stream levels; lakes and reservoirs; groundwater levels; wells and aquifers; floods; drought; precipitation; water temperature; physical water quality; chemical water quality; sediment; biological samples; hydrologic statistics</t>
  </si>
  <si>
    <t>Surface waters, groundwater systems, and associated communities represented by USGS monitoring locations across U.S. states and territories</t>
  </si>
  <si>
    <t>Monitoring location; streamgage; well; spring; lake or reservoir site; county; watershed/HUC</t>
  </si>
  <si>
    <t>More than 135 years; varies by monitoring location, parameter, and data category, with historical and current records through the present</t>
  </si>
  <si>
    <t>Ongoing; telemetered continuous data may be available within minutes, while daily values, field measurements, and discrete samples are added as processing and laboratory work are completed. Recent records may remain provisional until reviewed and approved.</t>
  </si>
  <si>
    <t>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t>
  </si>
  <si>
    <t>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t>
  </si>
  <si>
    <t>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t>
  </si>
  <si>
    <t>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t>
  </si>
  <si>
    <t>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t>
  </si>
  <si>
    <t>DS-083</t>
  </si>
  <si>
    <t>NOAA Climate Data Online (CDO)</t>
  </si>
  <si>
    <t>https://www.ncei.noaa.gov/cdo-web/</t>
  </si>
  <si>
    <t>Portal for discovering and downloading observed historical weather and climate data and station metadata from multiple NOAA/NCEI collections, including daily, monthly, seasonal, annual, hourly, radar, precipitation, and climate-normal products.</t>
  </si>
  <si>
    <t>Public search and mapping tools, free data orders and downloads, dataset-specific tools, bulk files, and web services; the CDO API requires a free email-issued token; certified copies for legal use may require payment.</t>
  </si>
  <si>
    <t>Climate; Weather; Temperature; Precipitation; Wind; Snow; Humidity; Climate normals; Environmental monitoring; Station data; Time-series data; SDOH/geospatial</t>
  </si>
  <si>
    <t>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t>
  </si>
  <si>
    <t>Temperature; extreme heat; extreme cold; precipitation; heavy rainfall; drought-related conditions; snowfall; snow depth; wind; humidity; dew point; atmospheric pressure; degree days; climate normals; routine weather observations; radar observations</t>
  </si>
  <si>
    <t>Weather-observing locations and surrounding land areas and populations worldwide</t>
  </si>
  <si>
    <t>Weather station; city; county; state; country, depending on dataset and search</t>
  </si>
  <si>
    <t>Varies by dataset and station; selected daily records date to 1750, with current observations through the present; most stations cover substantially shorter periods.</t>
  </si>
  <si>
    <t>Ongoing; varies by dataset; major daily station products update seven days per week, while monthly, annual, normals, radar, and other products follow dataset-specific schedules.</t>
  </si>
  <si>
    <t>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t>
  </si>
  <si>
    <t>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t>
  </si>
  <si>
    <t>PRISM Climate Data; NOAA Storm Events Database; GHCN-Daily; NOAA Local Climatological Data; NOAA U.S. Climate Normals; CDC Heat and Health Tracker; EPA AirData/AQS; USGS Water Data for the Nation; American Community Survey; Daymet; gridMET</t>
  </si>
  <si>
    <t>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t>
  </si>
  <si>
    <t>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t>
  </si>
  <si>
    <t>DS-084</t>
  </si>
  <si>
    <t>NOAA nClimGrid Daily / EpiNOAA County Dataset</t>
  </si>
  <si>
    <t>USGS</t>
  </si>
  <si>
    <t>https://arc.ncics.org/nclimgrid-overview/</t>
  </si>
  <si>
    <t>Analysis-ready daily county-level time series of area-averaged maximum, minimum, and mean temperature and precipitation derived from NOAA nClimGrid-Daily for climate monitoring, epidemiologic exposure assignment, and longitudinal public-health research.</t>
  </si>
  <si>
    <t>Public direct CSV and Parquet downloads through NOAA-hosted cloud storage; R package and interactive access options are also available; no registration or credentials required.</t>
  </si>
  <si>
    <t>Climate; Weather; Extreme heat; Extreme cold; Precipitation; County-level data; SDOH/geospatial; Analysis-ready data; Time-series data; Epidemiology</t>
  </si>
  <si>
    <t>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t>
  </si>
  <si>
    <t>Daily temperature; extreme heat; extreme cold; precipitation; heavy rainfall; drought-related conditions; flood-related climate conditions; climate variability; weather exposure</t>
  </si>
  <si>
    <t>Residents and land areas of counties in the contiguous United States, represented through county-area-average daily climate estimates</t>
  </si>
  <si>
    <t xml:space="preserve"> Data are available from 1951 to the present. </t>
  </si>
  <si>
    <t xml:space="preserve">Daily data are updated every 3 days with a preliminary data file and replaced with the scaled (i.e., quality controlled) data file every three months. </t>
  </si>
  <si>
    <t>Date; year; month; day; county or regional identifier; county name; state identifier; daily maximum temperature (Tmax, °C); daily minimum temperature (Tmin, °C); daily average temperature (Tavg, °C); daily precipitation amount (Prcp, mm); preliminary or scaled data status; product version</t>
  </si>
  <si>
    <t>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t>
  </si>
  <si>
    <t>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t>
  </si>
  <si>
    <t>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t>
  </si>
  <si>
    <t>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t>
  </si>
  <si>
    <t>DS-085</t>
  </si>
  <si>
    <t>PRISM Climate Data</t>
  </si>
  <si>
    <t>PRISM Climate Group, Oregon State University</t>
  </si>
  <si>
    <t>https://prism.oregonstate.edu/https://prism.oregonstate.edu/</t>
  </si>
  <si>
    <t>Terrain-sensitive gridded estimates of precipitation, temperature, humidity, and solar radiation for assigning daily, monthly, annual, and long-term climate conditions to locations and geographic areas.</t>
  </si>
  <si>
    <t>Public data explorer, raster-grid downloads, data directory, FTP access, and web services; attribution required under PRISM terms of use</t>
  </si>
  <si>
    <t>Climate; Weather; Temperature; Precipitation; Humidity; SDOH/geospatial; Raster data; Exposure modeling; Longitudinal data</t>
  </si>
  <si>
    <t>Temperature; extreme heat; precipitation; rainfall; humidity; dew point; vapor pressure deficit; solar irradiance; climate normals; climate anomalies; drought-related conditions; flood-related climate conditions</t>
  </si>
  <si>
    <t>Land areas and populations in the conterminous United States, represented through gridded climate estimates</t>
  </si>
  <si>
    <t>800-meter or 4-kilometer raster grid cell</t>
  </si>
  <si>
    <t>Daily: 1981–present; monthly and annual: 1895–present; current normals: 1991–2020</t>
  </si>
  <si>
    <t>Ongoing; daily and monthly products are revised during a rolling six-month quality-control period</t>
  </si>
  <si>
    <t>Precipitation total (ppt); minimum temperature (tmin); maximum temperature (tmax); mean temperature (tmean); mean dew point temperature (tdmean); minimum and maximum vapor pressure deficit (vpdmin and vpdmax); total solar irradiance on horizontal and sloped surfaces (soltotal and solslope); clear-sky solar irradiance and cloud transmittance for normals (solclear and soltrans); date; raster grid cell; spatial resolution; data version and stability status</t>
  </si>
  <si>
    <t>Assign daily or monthly climate exposures to residences, clinics, census areas, counties, or study sites; examine extreme heat and heat-related morbidity or mortality; evaluate climate conditions associated with HIV care access or outcomes; study precipitation, flooding, drought, vector-borne disease, respiratory disease, cardiovascular outcomes, and infectious-disease seasonality; calculate cumulative and lagged exposure measures; control for weather in epidemiologic models; support climate-vulnerability and adaptation planning</t>
  </si>
  <si>
    <t>NOAA/NCEI Climate Data Online; NOAA Global Historical Climatology Network; CDC Heat and Health Tracker; CDC Environmental Public Health Tracking Network; EPA AirData/AQS; USGS National Water Information System; American Community Survey; CDC PLACES; Census TIGER/Line; Daymet; gridMET</t>
  </si>
  <si>
    <t>Modeled and interpolated gridded estimates rather than measurements at every location. Accuracy depends on weather-station availability, reporting quality, terrain, coastal effects, and model assumptions. Nominal 800-meter resolution does not guarantee equivalent measurement precision and does not capture street-level, building-level, indoor, occupational, or personal exposure. Recent products may change during the six-month quality-control period. Station openings, closures, equipment or location changes, and observation-time changes can introduce temporal inhomogeneities. The standard all-networks time series prioritizes the best spatial estimate over temporal consistency, and PRISM does not recommend using its standard products to calculate very long-term trends. Variables, coverage, temporal periods, and resolution differ by product.</t>
  </si>
  <si>
    <t>Public non-human gridded climate data with no individual privacy restrictions. PRISM Group, Oregon State University retains ownership. Uses of the data should clearly identify the PRISM Group, its website, and the date of data access. Reproduced PRISM map graphics require the applicable copyright notice. When linking PRISM estimates to protected health records, follow the governance requirements of the health dataset and do not characterize grid-cell estimates as personally measured exposure. Document the product, variable, spatial resolution, temporal resolution, data version, stability status, access date, and spatial-extraction method.</t>
  </si>
  <si>
    <t>DS-086</t>
  </si>
  <si>
    <t>gridMET</t>
  </si>
  <si>
    <t>Climatology Lab, University of California, Merced</t>
  </si>
  <si>
    <t>https://www.climatologylab.org/gridmet.html</t>
  </si>
  <si>
    <t>Daily, spatially continuous gridded surface meteorological data for assigning temperature, precipitation, humidity, wind, solar radiation, evapotranspiration, vapor-pressure deficit, drought, and fire-weather conditions to locations and geographic areas.</t>
  </si>
  <si>
    <t>Public annual NetCDF downloads, wget-generated downloads, THREDDS/OPeNDAP services, Climate Engine access, USGS Zarr services, and Google Earth Engine; no approval required for direct files.</t>
  </si>
  <si>
    <t>Climate; Weather; Temperature; Precipitation; Humidity; Wind; Solar radiation; Evapotranspiration; Vapor pressure deficit; Drought; Wildfire; SDOH/geospatial; Raster data; Longitudinal data</t>
  </si>
  <si>
    <t>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t>
  </si>
  <si>
    <t>Daily temperature; extreme heat; extreme cold; precipitation; heavy rainfall; humidity; vapor-pressure deficit; wind; solar radiation; evapotranspiration; drought; wildfire danger; fuel moisture; climate variability</t>
  </si>
  <si>
    <t>Land areas and populations in the contiguous United States represented through approximately 4-kilometer gridded meteorological estimates</t>
  </si>
  <si>
    <t>Approximately 4-kilometer raster grid cell</t>
  </si>
  <si>
    <t>1979–present; generally available through the previous day</t>
  </si>
  <si>
    <t>Daily; observations from the most recent 60 days are preliminary and subject to replacement or revision</t>
  </si>
  <si>
    <t>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t>
  </si>
  <si>
    <t>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t>
  </si>
  <si>
    <t>PRISM Climate Data; NOAA nClimGrid-Daily and EpiNOAA; NOAA Climate Data Online; NOAA Storm Events Database; TerraClimate; Daymet; CDC Heat and Health Tracker; EPA AirData/AQS; USGS Water Data for the Nation; FEMA National Risk Index; American Community Survey</t>
  </si>
  <si>
    <t>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t>
  </si>
  <si>
    <t>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t>
  </si>
  <si>
    <t>DS-087</t>
  </si>
  <si>
    <t>NOAA Storm Events Database</t>
  </si>
  <si>
    <t>https://www.ncei.noaa.gov/stormevents/</t>
  </si>
  <si>
    <t>Event-based database documenting severe storms, unusual weather phenomena, and other significant meteorological events, including event timing and location, reported injuries and fatalities, property and crop damage, event magnitude, and descriptive narratives.</t>
  </si>
  <si>
    <t>Public interactive search, narrative search, annual bulk CSV files, event-location files, fatality files, documentation, and archived Storm Data publications; no account required.</t>
  </si>
  <si>
    <t>Climate; Weather; Natural hazards; Disasters; Emergency preparedness; Extreme heat; Flooding; Injury surveillance; Mortality; SDOH/geospatial; Event-level data; Longitudinal data</t>
  </si>
  <si>
    <t>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t>
  </si>
  <si>
    <t>Tornadoes; hurricanes; tropical storms; floods; flash floods; coastal flooding; storm surge; extreme heat; cold exposure; drought; wildfire; lightning; hail; damaging winds; heavy rain; winter storms; ice storms; rip currents; weather-related injuries; weather-related deaths; economic damage</t>
  </si>
  <si>
    <t>Residents and communities in the United States and territories affected by recorded severe or significant weather events; records also cover marine areas and forecast zones</t>
  </si>
  <si>
    <t>County or parish; NWS forecast zone; marine zone; event point or path; state or territory</t>
  </si>
  <si>
    <t>January 1950–present; currently available through March 2026; period of record varies by event type</t>
  </si>
  <si>
    <t>Monthly; generally updated approximately 75–90 days after the end of each data month</t>
  </si>
  <si>
    <t>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t>
  </si>
  <si>
    <t>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t>
  </si>
  <si>
    <t>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t>
  </si>
  <si>
    <t>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t>
  </si>
  <si>
    <t>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t>
  </si>
  <si>
    <t>DS-088</t>
  </si>
  <si>
    <t>FEMA National Risk Index</t>
  </si>
  <si>
    <t>FEMA National Risk Index for Natural Hazards</t>
  </si>
  <si>
    <t>https://www.fema.gov/flood-maps/products-tools/national-risk-index</t>
  </si>
  <si>
    <t>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t>
  </si>
  <si>
    <t>Public FEMA landing page, RAPT GIS web map, OpenFEMA downloadable files, FEMA ArcGIS county and census-tract feature layers, and technical documentation; no account required.</t>
  </si>
  <si>
    <t>Environmental exposure; Natural hazards; Disaster risk; Climate; Social vulnerability; Community resilience; Emergency preparedness; Hazard mitigation; Resilience planning; Area-level data</t>
  </si>
  <si>
    <t>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t>
  </si>
  <si>
    <t>Avalanche; coastal flooding; cold wave; drought; earthquake; hail; heat wave; hurricane; ice storm; inland flooding; landslide; lightning; strong wind; tornado; tsunami; volcanic activity; wildfire; winter weather; expected annual loss; social vulnerability; community resilience</t>
  </si>
  <si>
    <t>Residents, buildings, agricultural assets, and communities in U.S. counties and census tracts, represented through area-level hazard exposure, expected annual loss, social vulnerability, and community resilience measures</t>
  </si>
  <si>
    <t>Census tract; county; Tribal census tract; state-level Expected Annual Loss summaries, depending on product</t>
  </si>
  <si>
    <t>Multiple data versions since 2020; latest version 1.20 released in December 2025; underlying source periods vary by hazard and risk component</t>
  </si>
  <si>
    <t>Irregular/periodic; updated when major source datasets or methodologies are revised; latest major update December 2025</t>
  </si>
  <si>
    <t>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t>
  </si>
  <si>
    <t>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t>
  </si>
  <si>
    <t>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t>
  </si>
  <si>
    <t>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t>
  </si>
  <si>
    <t>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t>
  </si>
  <si>
    <t>DS-089</t>
  </si>
  <si>
    <t>USGS / MRLC National Land Cover Database (NLCD)</t>
  </si>
  <si>
    <t>MRLC Annual National Land Cover Database</t>
  </si>
  <si>
    <t>https://www.mrlc.gov/data/project/annual-nlcd</t>
  </si>
  <si>
    <t>Annual 30-meter raster data describing land cover, land-cover change, classification confidence, and impervious surfaces for analyzing urbanization, development, vegetation, wetlands, environmental context, and changes in the land surface over time.</t>
  </si>
  <si>
    <t>Public MRLC Viewer and area-of-interest downloads, GeoTIFF raster files, USGS EarthExplorer, ScienceBase archives, AWS cloud storage, and geospatial web services; no approval required.</t>
  </si>
  <si>
    <t>SDOH/geospatial; Land cover; Land use; Built environment; Impervious surface; Urbanization; Greenspace; Forest; Wetlands; Agriculture; Remote sensing; Raster data; Longitudinal data</t>
  </si>
  <si>
    <t>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t>
  </si>
  <si>
    <t>Land cover; land-cover change; developed land; urbanization; impervious surfaces; roads; open water; forest; shrubland; grassland; pasture; cultivated crops; wetlands; greenspace; land-surface disturbance</t>
  </si>
  <si>
    <t>Land areas and communities in the conterminous United States represented through 30-meter land-cover raster cells</t>
  </si>
  <si>
    <t>30-meter raster grid cell; current Annual NLCD core coverage is the conterminous United States</t>
  </si>
  <si>
    <t>1985–2025 in Annual NLCD Collection 1.2</t>
  </si>
  <si>
    <t>Annual; new releases extend and may reprocess the annual historical product series</t>
  </si>
  <si>
    <t>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t>
  </si>
  <si>
    <t>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t>
  </si>
  <si>
    <t>EPA EnviroAtlas; EPA EJScreen; CDC/ATSDR Environmental Justice Index; American Community Survey; Census TIGER/Line; PRISM Climate Data; gridMET; NOAA nClimGrid/EpiNOAA; FEMA National Risk Index; EPA WATERS/NHDPlus; USGS Landsat; USDA Cropland Data Layer; USFS Tree Canopy Cover data</t>
  </si>
  <si>
    <t>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t>
  </si>
  <si>
    <t>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t>
  </si>
  <si>
    <t>DS-090</t>
  </si>
  <si>
    <t>USGS Protected Areas Database of the U.S. (PAD-US)</t>
  </si>
  <si>
    <t>USGS PAD-US Data Overview and Downloads</t>
  </si>
  <si>
    <t>https://www.usgs.gov/programs/gap-analysis-project/science/pad-us-data-overview</t>
  </si>
  <si>
    <t>National geospatial inventory of public lands, protected areas, conservation easements, marine protected areas, management designations, and other open-space lands and waters, including conservation status, ownership or management, and general public-access information.</t>
  </si>
  <si>
    <t>Public national and state geodatabases, vector and raster analysis files, KMZ files, ArcGIS web services, interactive Data Explorer, and summary-statistics dashboard.</t>
  </si>
  <si>
    <t>Environmental exposure; Protected areas; Public lands; Parks; Open space; Greenspace; Recreation access; Biodiversity; Conservation; Land management; Cultural resources; Emergency planning</t>
  </si>
  <si>
    <t>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t>
  </si>
  <si>
    <t>Protected lands; public lands; parks; open space; recreation access; biodiversity conservation; land ownership; land management; conservation easements; wilderness; natural-resource management; marine protected areas; cultural and historic areas</t>
  </si>
  <si>
    <t>Residents and communities located near, or potentially served by, public lands, protected areas, parks, conservation lands, and other open-space lands and waters</t>
  </si>
  <si>
    <t>Protected-area or management-boundary polygon; public-land parcel; conservation easement; marine protected area; county; state</t>
  </si>
  <si>
    <t>Versioned releases; latest version PAD-US 4.1 released March 2025; establishment-year information is incomplete</t>
  </si>
  <si>
    <t>Irregular/periodic; updated as federal, state, local, Tribal, and nonprofit source data become available</t>
  </si>
  <si>
    <t>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t>
  </si>
  <si>
    <t>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t>
  </si>
  <si>
    <t>Annual National Land Cover Database; EPA EnviroAtlas; Trust for Public Land ParkServe; American Community Survey; Census TIGER/Line; CDC/ATSDR Environmental Justice Index; EPA EJScreen; FEMA National Risk Index; USGS National Map; state and local parks or recreation datasets</t>
  </si>
  <si>
    <t>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t>
  </si>
  <si>
    <t>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t>
  </si>
  <si>
    <t>DS-091</t>
  </si>
  <si>
    <t>USGS Estimated Annual Agricultural Pesticide Use</t>
  </si>
  <si>
    <t>USGS / MRLC</t>
  </si>
  <si>
    <t>https://www.usgs.gov/tools/estimated-annual-agricultural-pesticide-use</t>
  </si>
  <si>
    <t>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t>
  </si>
  <si>
    <t>Public interactive pesticide maps, annual county-level tab-delimited data files, state-level crop-group tables, USGS data releases, metadata, and methodological documentation; no registration required.</t>
  </si>
  <si>
    <t>Agricultural pesticide use; herbicides; insecticides; fungicides; crop chemicals; pesticide trends; agricultural chemical loading; surface-water contamination potential; groundwater contamination potential; rural environmental exposure</t>
  </si>
  <si>
    <t>Agricultural lands and populations living, working, obtaining water, or receiving services in areas where agricultural pesticides are estimated to be used</t>
  </si>
  <si>
    <t>County; agricultural land within county for mapped displays; state and crop group for selected summaries</t>
  </si>
  <si>
    <t>1992–2019 currently available; 2018–2019 estimates are preliminary. USGS states that final estimates for 2018–2022 are planned for publication in 2026, but I could not verify their release as of July 23, 2026.</t>
  </si>
  <si>
    <t>Planned annual preliminary estimates, with final estimates revised approximately every five years following release of the USDA Census of Agriculture; historical publication has been irregular.</t>
  </si>
  <si>
    <t>Pesticide compound name; year; state FIPS code; county FIPS code; low estimated use in kilograms; high estimated use in kilograms; state; county; crop or crop group in state-level files; mapped agricultural area; preliminary or final estimate status</t>
  </si>
  <si>
    <t>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t>
  </si>
  <si>
    <t>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t>
  </si>
  <si>
    <t>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t>
  </si>
  <si>
    <t>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t>
  </si>
  <si>
    <t>DS-092</t>
  </si>
  <si>
    <t>South Carolina Department of Environmental Services GIS Hub</t>
  </si>
  <si>
    <t>SCDES GIS Hub</t>
  </si>
  <si>
    <t>https://gis.des.sc.gov/SCDES_GIS_HUB/</t>
  </si>
  <si>
    <t>Statewide environmental GIS hub for discovering, viewing, analyzing, downloading, and accessing SCDES maps, dashboards, applications, datasets, APIs, and GIS services</t>
  </si>
  <si>
    <t>Public access without authentication for public datasets; downloads may include CSV, KML, ZIP, GeoJSON, GeoTIFF, and PNG, with GeoServices, WMS, and WFS links available for applicable layers.</t>
  </si>
  <si>
    <t>Environmental exposure; SDOH/geospatial; air quality; water quality; coastal resources; land and waste; permits; monitoring; regulatory facilities</t>
  </si>
  <si>
    <t>South Carolina environmental GIS, SCDES, air quality, water quality, coastal GIS, hazardous waste, landfills, mines, permits, monitoring stations, PFAS, dams, watersheds, ArcGIS</t>
  </si>
  <si>
    <t>Air, water, coastal management, land and waste management, environmental monitoring, regulated facilities, permits, contamination, watersheds and environmental hazards</t>
  </si>
  <si>
    <t>South Carolina environmental features, monitoring locations, regulated facilities, permitted sites, water bodies, coastal areas and communities</t>
  </si>
  <si>
    <t>Monitoring site, facility, permit location, water body, watershed, coastal feature, parcel, point, line, polygon or raster; varies by layer</t>
  </si>
  <si>
    <t>Varies by dataset and application; no unified date range</t>
  </si>
  <si>
    <t>Varies by layer and program</t>
  </si>
  <si>
    <t>Coordinates, facility or site name, permit identifiers, environmental-program category, monitoring location, watershed, water body, county, status, boundaries, pollutant or parameter attributes and application-specific measures</t>
  </si>
  <si>
    <t>Environmental-exposure linkage; proximity and buffer analysis; mapping regulated facilities; watershed and coastal analyses; environmental-justice research; identifying permits, monitoring sites and potential exposure sources</t>
  </si>
  <si>
    <t>EPA ECHO; EPA FRS; EPA TRI; Water Quality Portal; ATTAINS; How’s My Waterway; SCDNR GIS Open Data; Annual NLCD; FEMA National Risk Index; American Community Survey</t>
  </si>
  <si>
    <t>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t>
  </si>
  <si>
    <t>Public data generally do not require authentication, but service use may be logged. Review each layer’s metadata, attribution and terms; do not attempt to access nonpublic underlying systems or data.</t>
  </si>
  <si>
    <t>DS-093</t>
  </si>
  <si>
    <t>South Carolina Water Monitoring Portal</t>
  </si>
  <si>
    <t>USDA ERS</t>
  </si>
  <si>
    <t>https://www.scseagrant.org/sc-water-monitoring-portal/</t>
  </si>
  <si>
    <t>ArcGIS-based statewide application for visualizing, filtering and downloading South Carolina water-quality monitoring results</t>
  </si>
  <si>
    <t>Public interactive map with filters for water-quality category, sample date, submitting organization, county, watershed and sub-watershed; users may download selected data.</t>
  </si>
  <si>
    <t>Environmental exposure; water quality; surface water; monitoring sites; watersheds; bacteria; nutrients; impaired waters; TMDLs</t>
  </si>
  <si>
    <t>South Carolina water quality, water monitoring, SC Sea Grant, College of Charleston, Water Quality Portal, monitoring stations, bacteria, nutrients, county, HUC10, HUC12, watershed, impaired waters, TMDL</t>
  </si>
  <si>
    <t>Surface-water quality, monitoring locations, physical and chemical parameters, bacteria, nutrients, watershed conditions, impaired waters and TMDLs</t>
  </si>
  <si>
    <t>South Carolina water-quality monitoring sites, samples, water bodies and watersheds</t>
  </si>
  <si>
    <t>Monitoring site, sample location, county, watershed, sub-watershed and water body</t>
  </si>
  <si>
    <t>Varies by monitoring organization and parameter; no single unified date range stated</t>
  </si>
  <si>
    <t>Irregular; dependent on updates from the Water Quality Portal and contributing organizations</t>
  </si>
  <si>
    <t>Monitoring-site identifier, coordinates, collection date, submitting organization, county, watershed, parameter or characteristic name, result value, unit, sample medium and water-quality category</t>
  </si>
  <si>
    <t>Link water-quality measurements to communities or health outcomes; identify monitoring coverage; evaluate spatial and temporal water-quality trends; examine bacteria or nutrient measurements; support watershed and environmental-exposure studies</t>
  </si>
  <si>
    <t>National Water Quality Portal; SCDES GIS Hub; SCDES Watershed Atlas; ATTAINS; How’s My Waterway; WATERS; USGS stream gauges; Census TIGER/Line; American Community Survey</t>
  </si>
  <si>
    <t>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t>
  </si>
  <si>
    <t>Public environmental-monitoring data. Retain the submitting-organization identifier, site identifier, result qualifiers, units, analytical method and detection-limit fields. Use the original provider or national Water Quality Portal for reproducible extraction and source verification</t>
  </si>
  <si>
    <t>DS-094</t>
  </si>
  <si>
    <t>South Carolina Department of Natural Resources GIS Open Data</t>
  </si>
  <si>
    <t>SCDNR ArcGIS Online</t>
  </si>
  <si>
    <t>https://scdnr.maps.arcgis.com/home/</t>
  </si>
  <si>
    <t>Statewide GIS layers, web maps, applications and spatial services covering natural resources, geology, hydrology, wildlife, habitats, public lands, elevation and related environmental features</t>
  </si>
  <si>
    <t>Public ArcGIS Online content, web maps, map services and downloadable GIS products; availability and formats vary by layer, and some specialized products require a request</t>
  </si>
  <si>
    <t>Environmental exposure; SDOH/geospatial; hydrology; geology; wildlife; habitats; public lands; elevation</t>
  </si>
  <si>
    <t>South Carolina GIS, SCDNR, natural resources, wildlife, habitat, hydrology, geology, public lands, LiDAR, elevation, wetlands, coastal resources, ArcGIS</t>
  </si>
  <si>
    <t>Natural resources, land and water resources, biodiversity, coastal resources, geology, elevation, managed lands and environmental context</t>
  </si>
  <si>
    <t>South Carolina environment, natural resources, wildlife habitats, water resources, land areas and managed properties</t>
  </si>
  <si>
    <t>Statewide layers; county; watershed; parcel or managed-land tract; point, line, polygon, raster and site-specific features</t>
  </si>
  <si>
    <t>Varies substantially by layer and project; historical and current products are mixed</t>
  </si>
  <si>
    <t>Irregular/by layer</t>
  </si>
  <si>
    <t>Coordinates, boundaries, land ownership or management, habitat type, hydrography, elevation, geology, wells, protected lands, species or biological resources and layer-specific attributes</t>
  </si>
  <si>
    <t>Environmental exposure linkage; proximity and buffer analysis; rural and natural-resource context; watershed linkage; public-land access; habitat and coastal analyses; map development</t>
  </si>
  <si>
    <t>SCDES GIS Hub; EPA EnviroAtlas; Annual NLCD; PAD-US; WQP; FEMA National Risk Index; Census TIGER/Line; ACS</t>
  </si>
  <si>
    <t>Broad portal rather than one standardized dataset; metadata, dates, resolution, completeness and update schedules differ by layer; boundaries may not be legally authoritative; some older products remain available; specialized GIS software may be required</t>
  </si>
  <si>
    <t>Public data are generally provided as-is; review each layer’s metadata, use limitations, attribution requirements and positional-accuracy statements before analysis</t>
  </si>
  <si>
    <t>DS-095</t>
  </si>
  <si>
    <t>South Carolina DPH Data, Maps, Reports</t>
  </si>
  <si>
    <t>SC Sea Grant / College of Charleston</t>
  </si>
  <si>
    <t>Central portal for South Carolina public-health dashboards, surveillance reports, statistics, maps and topic-specific data products</t>
  </si>
  <si>
    <t>Public dashboards, reports, maps and downloadable summary tables; confidential or record-level health data are not generally distributed through the public portal</t>
  </si>
  <si>
    <t>Chronic disease; cancer; maternal/child health; mental health; substance use; HIV/infectious disease; environmental health; vital statistics</t>
  </si>
  <si>
    <t>South Carolina public health, SCDPH, health dashboard, county health, vital statistics, disease surveillance, HIV, AIDS, STD, mortality, births, environmental health</t>
  </si>
  <si>
    <t>Population health, disease surveillance, mortality, morbidity, maternal and child health, infectious disease, HIV/STIs, overdose, environmental health and health-care indicators</t>
  </si>
  <si>
    <t>South Carolina residents and topic-specific subpopulations represented in public-health surveillance systems</t>
  </si>
  <si>
    <t>State, county, health region and other topic-specific reporting geographies</t>
  </si>
  <si>
    <t>Varies by program; many reports and dashboards contain annual or multi-year trends, with some historical series extending several decades</t>
  </si>
  <si>
    <t>Varies by program: weekly, monthly, quarterly, annual or irregular</t>
  </si>
  <si>
    <t>Counts, rates, percentages, prevalence, incidence, mortality, demographics, age, sex, race/ethnicity, county, year, disease indicators, risk factors and health outcomes</t>
  </si>
  <si>
    <t>County health profiles; public-health needs assessment; disease-trend analysis; HIV and infectious-disease context; disparity analysis; surveillance summaries; grant and program planning</t>
  </si>
  <si>
    <t>CDC PLACES; CDC WONDER; CDC AtlasPlus; BRFSS; ACS; County Health Rankings; South Carolina Health Compass; SC Tracking; South Carolina vital-statistics reports</t>
  </si>
  <si>
    <t>Broad collection rather than one harmonized dataset; definitions, denominators, periods and update schedules differ by program; dashboards may suppress unstable or confidential estimates; some reports provide PDFs rather than analysis-ready files</t>
  </si>
  <si>
    <t>Public products are primarily aggregated or de-identified; small counts may be suppressed; access to identifiable surveillance, vital-record or patient-level data requires separate authorization and governance review</t>
  </si>
  <si>
    <t>DS-096</t>
  </si>
  <si>
    <t>SCDNR GIS Open Data</t>
  </si>
  <si>
    <t>https://data-scdnr.opendata.arcgis.com/</t>
  </si>
  <si>
    <t>Public GIS hub for discovering, viewing, downloading, and accessing South Carolina natural-resource and environmental spatial datasets</t>
  </si>
  <si>
    <t>Public ArcGIS Hub; downloadable formats include CSV, KML, ZIP, GeoJSON, GeoTIFF, and PNG; GeoServices, WMS, WFS, and other API links may be available by layer</t>
  </si>
  <si>
    <t>Environmental exposure; SDOH/geospatial; land cover; geology; hydrology; biodiversity; wildlife; coastal resources; public lands</t>
  </si>
  <si>
    <t>SCDNR, South Carolina GIS, natural resources, environmental GIS, geology, hydrology, wildlife, habitat, public lands, coastal resources, land cover, LiDAR, ArcGIS</t>
  </si>
  <si>
    <t>Natural resources, land cover, geology, elevation, hydrography, habitats, wildlife, fisheries, coastal resources, public lands and recreational access</t>
  </si>
  <si>
    <t>South Carolina lands, waters, natural resources, habitats, wildlife populations and managed properties</t>
  </si>
  <si>
    <t>Points, sites, lines, polygons, watersheds, counties, managed-land tracts and raster grid cells; varies by layer</t>
  </si>
  <si>
    <t>Varies by dataset; includes current and historical layers with no unified date range</t>
  </si>
  <si>
    <t>Irregular/by dataset</t>
  </si>
  <si>
    <t>Coordinates, feature boundaries, area, land-cover class, elevation, geology, hydrography, habitat type, species-related attributes, ownership or management status, facility or access-point characteristics</t>
  </si>
  <si>
    <t>Environmental and geographic linkage; proximity and buffer analysis; watershed context; habitat and biodiversity research; public-land and recreation access; rural and coastal analyses</t>
  </si>
  <si>
    <t>SCDES GIS Hub; Annual NLCD; PAD-US; Water Quality Portal; PRISM; gridMET; FEMA National Risk Index; Census TIGER/Line; American Community Survey</t>
  </si>
  <si>
    <t>Portal contains many independently produced layers; vintages, completeness, resolution, coordinate systems and update schedules differ; some layers are historical; mapped boundaries may not represent legal property boundaries</t>
  </si>
  <si>
    <t>Review each layer’s metadata, attribution, license and use constraints; retain source agency and dataset version; do not treat reference boundaries as legally authoritative</t>
  </si>
  <si>
    <t>DS-097</t>
  </si>
  <si>
    <t>Data, Maps, Reports</t>
  </si>
  <si>
    <t>https://dph.sc.gov/public/data-maps-reports</t>
  </si>
  <si>
    <t>Public landing page for interactive health applications, service-location maps, monitoring tools, assessments and other South Carolina public-health mapping products</t>
  </si>
  <si>
    <t>Public web applications and interactive maps; download, API and export functionality vary by individual application; no unified bulk download</t>
  </si>
  <si>
    <t>HIV/infectious disease; health care utilization/cost; SDOH/geospatial; cancer; environmental exposure; food/nutrition; provider locations</t>
  </si>
  <si>
    <t>South Carolina DPH, health maps, health applications, clinic locator, HIV clinic, STD clinic, hepatitis clinic, health facility, cancer map, rabies, mosquito disease, food desert, vaccine location</t>
  </si>
  <si>
    <t>Health-service access, clinic and facility locations, vaccination, cancer, HIV/STI/hepatitis services, mosquito-borne disease, rabies, food markets and food access</t>
  </si>
  <si>
    <t>South Carolina residents, health-service users, facilities, providers and populations represented in application-specific public-health data</t>
  </si>
  <si>
    <t>State, county, facility, clinic, provider location, service area and other application-specific geography</t>
  </si>
  <si>
    <t>Varies by application; no unified date range</t>
  </si>
  <si>
    <t>Varies by application</t>
  </si>
  <si>
    <t>Facility or clinic name, service type, address, coordinates, county, provider category, disease or monitoring indicator, counts, rates and application-specific geographic measures</t>
  </si>
  <si>
    <t>Locate HIV/STI/hepatitis clinics and other health services; map geographic access to care; identify facility locations; support community needs assessments; examine food access and selected public-health monitoring indicators</t>
  </si>
  <si>
    <t>SC DPH Public Health Data; SC DPH All Data Dashboards; SC Tracking; SC Health Compass; HIV, AIDS &amp; STDs Data and Reports; Census TIGER/Line; American Community Survey</t>
  </si>
  <si>
    <t>This is an application directory rather than one harmonized dataset; content, definitions, years, refresh schedules and export options differ by application; some tools are designed for service discovery rather than statistical analysis</t>
  </si>
  <si>
    <t>Public products generally contain aggregated, nonidentifiable or facility-location information; individual-level surveillance and clinical records require separate authorization; review each application’s privacy and suppression rules</t>
  </si>
  <si>
    <t>DS-098</t>
  </si>
  <si>
    <t>National Survey of Children's Health</t>
  </si>
  <si>
    <t>The Natonal Survey of Children's Health</t>
  </si>
  <si>
    <t>https://www.childhealthdata.org/learn-about-the-nsch/NSCH</t>
  </si>
  <si>
    <t>DS-099</t>
  </si>
  <si>
    <t>National Ambulatory Medical Care Survey</t>
  </si>
  <si>
    <t>National Ambulatory Medica Care Survey</t>
  </si>
  <si>
    <t>https://www.cdc.gov/nchs/namcs/about/index.html</t>
  </si>
  <si>
    <t>DS-100</t>
  </si>
  <si>
    <t>National Hospital Care Survey</t>
  </si>
  <si>
    <t>National Hospital Care Survey | NHCS | CDC</t>
  </si>
  <si>
    <t>DS-101</t>
  </si>
  <si>
    <t>National Notifiable Diseases Surveillance System</t>
  </si>
  <si>
    <t>National Notifiable Diseases Surveilance System (NNDSS)</t>
  </si>
  <si>
    <t>Site Index | National Notifiable Diseases Surveillance System (NNDSS) | CDC</t>
  </si>
  <si>
    <t>DS-102</t>
  </si>
  <si>
    <t>National Sleep Research Resource</t>
  </si>
  <si>
    <t>Sleep Data - National Sleep Research Resource - NSRR</t>
  </si>
  <si>
    <t>DS-103</t>
  </si>
  <si>
    <t>NIMH Data Archive</t>
  </si>
  <si>
    <t>NIMH Data Archive - NDA</t>
  </si>
  <si>
    <t>DS-104</t>
  </si>
  <si>
    <t>United States Renal Data System</t>
  </si>
  <si>
    <t>The United States Renal Data System (USRDS)</t>
  </si>
  <si>
    <t>United States Renal Data System - USRDS - NIDDK</t>
  </si>
  <si>
    <t>DS-105</t>
  </si>
  <si>
    <t>National Emergency Medical Services Information System</t>
  </si>
  <si>
    <t>NEMSIS</t>
  </si>
  <si>
    <t>Home - NEMSIS</t>
  </si>
  <si>
    <t>DS-106</t>
  </si>
  <si>
    <t>Health Information National Trends Survey</t>
  </si>
  <si>
    <t>HINTS</t>
  </si>
  <si>
    <t>Health Information National Trends Survey | HINTS</t>
  </si>
  <si>
    <t>Nationally representative data about the American public's knowledge of, attitudes toward, and use of cancer- and health-related information</t>
  </si>
  <si>
    <t>MACS/WIHS Combined Cohort Study (MWCCS)</t>
  </si>
  <si>
    <t>https://statepi.jhsph.edu/mwccs/</t>
  </si>
  <si>
    <t>Longitudinal U.S. cohort of adults with and without HIV, containing data on HIV status and treatment, chronic conditions, laboratory measures, behaviors, mental health, and aging. Supports research on HIV, comorbidities, health disparities, and long-term health outcomes.</t>
  </si>
  <si>
    <t>chronic disease; aging; cancer; mental health; substance use; EHR/clinical; genomics/molecular; clinical trials; food/nutrition; health care utilization/cost; SDOH/geospatial</t>
  </si>
  <si>
    <t>HIV; human immunodeficiency virus; AIDS; PLWH; people living with HIV; MACS; Multicenter AIDS Cohort Study; WIHS; Women's Interagency HIV Study; MWCCS; MACS/WIHS Combined Cohort Study; longitudinal; observational; HIV treatment; antiretroviral therapy; ART; CD4; chronic disease; aging</t>
  </si>
  <si>
    <t>HIV/AIDS; cardiovascular disease; metabolic disease; kidney disease; cancer; mental health; substance use; aging; reproductive health</t>
  </si>
  <si>
    <t>MACS was a study of gay and bisexual men, while WIHS was a study of women who had other risk factors for HIV. The MWCCS integrates these two longstanding, longitudinal studies and will continue follow-up of the current participants enrolled at 13 MACS/WIHS clinical research sites (CRS) in addition to recruiting new participants with characteristics that reflect the U.S. population living with HIV or at risk for HIV.</t>
  </si>
  <si>
    <t>1984-present (MACS); 1994-present (WIHS); combined as MWCCS beginning in 2019</t>
  </si>
  <si>
    <t>demographics; HIV status; HIV viral load; CD4 T-cell count; antiretroviral therapy; HIV treatment history; HIV disease progression; AIDS diagnoses; comorbidities; cardiovascular disease; hypertension; diabetes; obesity; kidney disease; pulmonary disease; sleep disorders; cancer; mental health; depressive symptoms; substance use; alcohol use; tobacco use; medication use; reproductive health; sexual behavior; socioeconomic factors; health behaviors; physical functioning; laboratory measures; biomarkers; mortality; clinical outcomes; biological specimens; serum; plasma</t>
  </si>
  <si>
    <t>HIV treatment and outcomes research; HIV disease progression; mortality; chronic disease; cardiovascular disease  and HIV; kidney disease and HIV; aging and HIV; mental health and HIV; substance use and HIV; health disparities; reproductive health; longitudinal risk-factor studies; biomarker and laboratory studies; epidemiology and disease outcomes; observational cohort studies</t>
  </si>
  <si>
    <t>All of Us Research Program; National Health and Nutrition Examination Survey (NHANES); National HIV Surveillance System; Medical Monitoring Project (MMP); National Vital Statistics System (NVSS); CDC Behavioral Risk Factor Surveillance System (BRFSS); HCUP</t>
  </si>
  <si>
    <t>Historical MACS and WIHS cohorts have different recruitment histories and participant characteristics, which may affect analyses. Some variables and participant-level information are restricted due to privacy and data-use requirements. Confirm the applicable Public Use Data Set vs. controlled/confidential data access requirements and check availability of variables of interest.</t>
  </si>
  <si>
    <t>Public use data set is available through an access request process, while confidential/restricted data require an approved research request and are subject to participant privacy protections and data-use requirements.</t>
  </si>
  <si>
    <t>macs/wihs combined cohort study (mwccs) macs/wihs combined cohort study (mwccs) longitudinal u.s. cohort of adults with and without hiv, containing data on hiv status and treatment, chronic conditions, laboratory measures, behaviors, mental health, and aging. supports research on hiv, comorbidities, health disparities, and long-term health outcomes. public-use plus restricted files public-use plus restricted files hiv/infectious disease chronic disease; aging; cancer; mental health; substance use; ehr/clinical; genomics/molecular; clinical trials; food/nutrition; health care utilization/cost; sdoh/geospatial hiv; human immunodeficiency virus; aids; plwh; people living with hiv; macs; multicenter aids cohort study; wihs; women's interagency hiv study; mwccs; macs/wihs combined cohort study; longitudinal; observational; hiv treatment; antiretroviral therapy; art; cd4; chronic disease; aging cohort/longitudinal hiv/aids; cardiovascular disease; metabolic disease; kidney disease; cancer; mental health; substance use; aging; reproductive health macs was a study of gay and bisexual men, while wihs was a study of women who had other risk factors for hiv. the mwccs integrates these two longstanding, longitudinal studies and will continue follow-up of the current participants enrolled at 13 macs/wihs clinical research sites (crs) in addition to recruiting new participants with characteristics that reflect the u.s. population living with hiv or at risk for hiv. united states other individual medium demographics; hiv status; hiv viral load; cd4 t-cell count; antiretroviral therapy; hiv treatment history; hiv disease progression; aids diagnoses; comorbidities; cardiovascular disease; hypertension; diabetes; obesity; kidney disease; pulmonary disease; sleep disorders; cancer; mental health; depressive symptoms; substance use; alcohol use; tobacco use; medication use; reproductive health; sexual behavior; socioeconomic factors; health behaviors; physical functioning; laboratory measures; biomarkers; mortality; clinical outcomes; biological specimens; serum; plasma hiv treatment and outcomes research; hiv disease progression; mortality; chronic disease; cardiovascular disease  and hiv; kidney disease and hiv; aging and hiv; mental health and hiv; substance use and hiv; health disparities; reproductive health; longitudinal risk-factor studies; biomarker and laboratory studies; epidemiology and disease outcomes; observational cohort studies all of us research program; national health and nutrition examination survey (nhanes); national hiv surveillance system; medical monitoring project (mmp); national vital statistics system (nvss); cdc behavioral risk factor surveillance system (brfss); hcup historical macs and wihs cohorts have different recruitment histories and participant characteristics, which may affect analyses. some variables and participant-level information are restricted due to privacy and data-use requirements. confirm the applicable public use data set vs. controlled/confidential data access requirements and check availability of variables of interest. public use data set is available through an access request process, while confidential/restricted data require an approved research request and are subject to participant privacy protections and data-use requirements.</t>
  </si>
  <si>
    <t>DS-107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</si>
</sst>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b/>
      <sz val="11"/>
      <color rgb="FFFFFFFF"/>
      <name val="Carlito"/>
    </font>
    <font>
      <u/>
      <sz val="11"/>
      <color theme="10"/>
      <name val="Carlito"/>
    </font>
    <font>
      <sz val="11"/>
      <color rgb="FF000000"/>
      <name val="Carlito"/>
    </font>
    <font>
      <sz val="10"/>
      <name val="Arial Unicode MS"/>
      <family val="2"/>
    </font>
    <font>
      <sz val="11"/>
      <color rgb="FF9C0006"/>
      <name val="Calibri"/>
      <family val="2"/>
      <scheme val="minor"/>
    </font>
  </fonts>
  <fills count="5">
    <fill>
      <patternFill patternType="none"/>
    </fill>
    <fill>
      <patternFill patternType="gray125"/>
    </fill>
    <fill>
      <patternFill patternType="solid">
        <fgColor rgb="FF2F75B5"/>
      </patternFill>
    </fill>
    <fill>
      <patternFill patternType="solid">
        <fgColor rgb="FFC0E6F5"/>
        <bgColor rgb="FFC0E6F5"/>
      </patternFill>
    </fill>
    <fill>
      <patternFill patternType="solid">
        <fgColor rgb="FFFFC7CE"/>
      </patternFill>
    </fill>
  </fills>
  <borders count="1">
    <border>
      <left/>
      <right/>
      <top/>
      <bottom/>
      <diagonal/>
    </border>
  </borders>
  <cellStyleXfs count="3">
    <xf numFmtId="0" fontId="0" fillId="0" borderId="0"/>
    <xf numFmtId="0" fontId="2" fillId="0" borderId="0"/>
    <xf numFmtId="0" fontId="5" fillId="4" borderId="0"/>
  </cellStyleXfs>
  <cellXfs count="16">
    <xf numFmtId="0" fontId="0" fillId="0" borderId="0" xfId="0"/>
    <xf numFmtId="0" fontId="0" fillId="0" borderId="0" xfId="0" applyAlignment="1">
      <alignment vertical="top" wrapText="1"/>
    </xf>
    <xf numFmtId="0" fontId="1" fillId="2" borderId="0" xfId="0" applyFont="1" applyFill="1" applyAlignment="1">
      <alignment horizontal="center" vertical="top" wrapText="1"/>
    </xf>
    <xf numFmtId="0" fontId="0" fillId="0" borderId="0" xfId="0" applyAlignment="1">
      <alignment vertical="top"/>
    </xf>
    <xf numFmtId="0" fontId="2" fillId="0" borderId="0" xfId="1" applyAlignment="1">
      <alignment vertical="top" wrapText="1"/>
    </xf>
    <xf numFmtId="14" fontId="0" fillId="0" borderId="0" xfId="0" applyNumberFormat="1" applyAlignment="1">
      <alignment vertical="top" wrapText="1"/>
    </xf>
    <xf numFmtId="0" fontId="0" fillId="0" borderId="0" xfId="0" applyAlignment="1">
      <alignment horizontal="left" vertical="top"/>
    </xf>
    <xf numFmtId="0" fontId="0" fillId="0" borderId="0" xfId="0" applyAlignment="1">
      <alignment horizontal="left" vertical="top" wrapText="1"/>
    </xf>
    <xf numFmtId="0" fontId="3" fillId="3" borderId="0" xfId="0" applyFont="1" applyFill="1" applyAlignment="1">
      <alignment vertical="top" wrapText="1"/>
    </xf>
    <xf numFmtId="0" fontId="3" fillId="0" borderId="0" xfId="0" applyFont="1" applyAlignment="1">
      <alignment vertical="top" wrapText="1"/>
    </xf>
    <xf numFmtId="0" fontId="4" fillId="0" borderId="0" xfId="0" applyFont="1"/>
    <xf numFmtId="14" fontId="0" fillId="0" borderId="0" xfId="0" applyNumberFormat="1" applyAlignment="1">
      <alignment vertical="top"/>
    </xf>
    <xf numFmtId="0" fontId="5" fillId="4" borderId="0" xfId="2" applyAlignment="1">
      <alignment vertical="top"/>
    </xf>
    <xf numFmtId="0" fontId="4" fillId="0" borderId="0" xfId="0" applyFont="1" applyAlignment="1">
      <alignment wrapText="1"/>
    </xf>
    <xf numFmtId="0" fontId="0" fillId="0" borderId="0" xfId="0" applyAlignment="1">
      <alignment wrapText="1"/>
    </xf>
    <xf numFmtId="0" fontId="2" fillId="0" borderId="0" xfId="1" applyAlignment="1">
      <alignment wrapText="1"/>
    </xf>
  </cellXfs>
  <cellStyles count="3">
    <cellStyle name="Bad" xfId="2" builtinId="27"/>
    <cellStyle name="Hyperlink" xfId="1" builtinId="8"/>
    <cellStyle name="Normal" xfId="0" builtinId="0"/>
  </cellStyles>
  <dxfs count="4">
    <dxf>
      <alignment wrapText="1"/>
    </dxf>
    <dxf>
      <alignment vertical="top"/>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taPrepTable" displayName="DataPrepTable" ref="A1:AJ108">
  <tableColumns count="36">
    <tableColumn id="1" xr3:uid="{00000000-0010-0000-0000-000001000000}" name="Record ID"/>
    <tableColumn id="2" xr3:uid="{00000000-0010-0000-0000-000002000000}" name="Data Source"/>
    <tableColumn id="3" xr3:uid="{00000000-0010-0000-0000-000003000000}" name="Official Link Text"/>
    <tableColumn id="4" xr3:uid="{00000000-0010-0000-0000-000004000000}" name="Official URL" dataDxfId="3"/>
    <tableColumn id="5" xr3:uid="{00000000-0010-0000-0000-000005000000}" name="Main Data Type / Use" dataDxfId="2"/>
    <tableColumn id="6" xr3:uid="{00000000-0010-0000-0000-000006000000}" name="Raw Access Level"/>
    <tableColumn id="7" xr3:uid="{00000000-0010-0000-0000-000007000000}" name="Access Level Standardized"/>
    <tableColumn id="8" xr3:uid="{00000000-0010-0000-0000-000008000000}" name="Access Burden"/>
    <tableColumn id="9" xr3:uid="{00000000-0010-0000-0000-000009000000}" name="Primary Category"/>
    <tableColumn id="10" xr3:uid="{00000000-0010-0000-0000-00000A000000}" name="Secondary Categories / Tags"/>
    <tableColumn id="11" xr3:uid="{00000000-0010-0000-0000-00000B000000}" name="Keywords for Search"/>
    <tableColumn id="12" xr3:uid="{00000000-0010-0000-0000-00000C000000}" name="Data Type Standardized"/>
    <tableColumn id="13" xr3:uid="{00000000-0010-0000-0000-00000D000000}" name="Topic Area(s)"/>
    <tableColumn id="14" xr3:uid="{00000000-0010-0000-0000-00000E000000}" name="Population"/>
    <tableColumn id="15" xr3:uid="{00000000-0010-0000-0000-00000F000000}" name="Geography Coverage"/>
    <tableColumn id="16" xr3:uid="{00000000-0010-0000-0000-000010000000}" name="Geographic Unit" dataDxfId="1"/>
    <tableColumn id="17" xr3:uid="{00000000-0010-0000-0000-000011000000}" name="Unit of Analysis"/>
    <tableColumn id="18" xr3:uid="{00000000-0010-0000-0000-000012000000}" name="Individual-level Data?"/>
    <tableColumn id="19" xr3:uid="{00000000-0010-0000-0000-000013000000}" name="Area-level Data?"/>
    <tableColumn id="20" xr3:uid="{00000000-0010-0000-0000-000014000000}" name="Longitudinal?"/>
    <tableColumn id="21" xr3:uid="{00000000-0010-0000-0000-000015000000}" name="Years Available" dataDxfId="0"/>
    <tableColumn id="22" xr3:uid="{00000000-0010-0000-0000-000016000000}" name="Refresh Frequency"/>
    <tableColumn id="23" xr3:uid="{00000000-0010-0000-0000-000017000000}" name="Linkage Potential"/>
    <tableColumn id="24" xr3:uid="{00000000-0010-0000-0000-000018000000}" name="South Carolina Relevance"/>
    <tableColumn id="25" xr3:uid="{00000000-0010-0000-0000-000019000000}" name="Common Variables / Measures"/>
    <tableColumn id="26" xr3:uid="{00000000-0010-0000-0000-00001A000000}" name="Suggested Use Cases"/>
    <tableColumn id="27" xr3:uid="{00000000-0010-0000-0000-00001B000000}" name="Companion Datasets"/>
    <tableColumn id="28" xr3:uid="{00000000-0010-0000-0000-00001C000000}" name="Limitations / Cautions"/>
    <tableColumn id="29" xr3:uid="{00000000-0010-0000-0000-00001D000000}" name="Data Governance Notes"/>
    <tableColumn id="30" xr3:uid="{00000000-0010-0000-0000-00001E000000}" name="RDCD Consultation Notes"/>
    <tableColumn id="31" xr3:uid="{00000000-0010-0000-0000-00001F000000}" name="Demo Include?"/>
    <tableColumn id="32" xr3:uid="{00000000-0010-0000-0000-000020000000}" name="Date Verified"/>
    <tableColumn id="33" xr3:uid="{00000000-0010-0000-0000-000021000000}" name="Verified By"/>
    <tableColumn id="34" xr3:uid="{00000000-0010-0000-0000-000022000000}" name="Priority"/>
    <tableColumn id="35" xr3:uid="{00000000-0010-0000-0000-000023000000}" name="Status"/>
    <tableColumn id="36" xr3:uid="{00000000-0010-0000-0000-000024000000}" name="App Search Text">
      <calculatedColumnFormula>LOWER(_xlfn.SINGLE(_xlfn.TEXTJOIN(" ", TRUE, B2, C2, E2, F2, G2, I2, J2, K2, L2, M2, N2, O2, P2, Q2, X2, Y2, Z2, AA2, AB2, AC2, AD2)))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samhsa.gov/data/data-we-collect/mh-cld-mental-health-client-level-data/datafiles" TargetMode="External"/><Relationship Id="rId21" Type="http://schemas.openxmlformats.org/officeDocument/2006/relationships/hyperlink" Target="https://data.cms.gov/" TargetMode="External"/><Relationship Id="rId42" Type="http://schemas.openxmlformats.org/officeDocument/2006/relationships/hyperlink" Target="https://data.worldbank.org/" TargetMode="External"/><Relationship Id="rId47" Type="http://schemas.openxmlformats.org/officeDocument/2006/relationships/hyperlink" Target="https://www.epa.gov/toxics-release-inventory-tri-program" TargetMode="External"/><Relationship Id="rId63" Type="http://schemas.openxmlformats.org/officeDocument/2006/relationships/hyperlink" Target="https://www.mrlc.gov/data/project/annual-nlcd" TargetMode="External"/><Relationship Id="rId68" Type="http://schemas.openxmlformats.org/officeDocument/2006/relationships/hyperlink" Target="https://scdnr.maps.arcgis.com/home/" TargetMode="External"/><Relationship Id="rId16" Type="http://schemas.openxmlformats.org/officeDocument/2006/relationships/hyperlink" Target="https://www.countyhealthrankings.org/health-data" TargetMode="External"/><Relationship Id="rId11" Type="http://schemas.openxmlformats.org/officeDocument/2006/relationships/hyperlink" Target="https://www.cdc.gov/nchs/nhis/index.html" TargetMode="External"/><Relationship Id="rId32" Type="http://schemas.openxmlformats.org/officeDocument/2006/relationships/hyperlink" Target="https://dbgap.ncbi.nlm.nih.gov/home/" TargetMode="External"/><Relationship Id="rId37" Type="http://schemas.openxmlformats.org/officeDocument/2006/relationships/hyperlink" Target="https://www.fda.gov/drugs/drug-approvals-and-databases/fda-adverse-event-reporting-system-faers-database" TargetMode="External"/><Relationship Id="rId53" Type="http://schemas.openxmlformats.org/officeDocument/2006/relationships/hyperlink" Target="https://www.waterqualitydata.us/" TargetMode="External"/><Relationship Id="rId58" Type="http://schemas.openxmlformats.org/officeDocument/2006/relationships/hyperlink" Target="https://arc.ncics.org/nclimgrid-overview/" TargetMode="External"/><Relationship Id="rId74" Type="http://schemas.openxmlformats.org/officeDocument/2006/relationships/hyperlink" Target="https://www.cdc.gov/nchs/nhcs/index.html" TargetMode="External"/><Relationship Id="rId79" Type="http://schemas.openxmlformats.org/officeDocument/2006/relationships/hyperlink" Target="https://nemsis.org/" TargetMode="External"/><Relationship Id="rId5" Type="http://schemas.openxmlformats.org/officeDocument/2006/relationships/hyperlink" Target="https://biolincc.nhlbi.nih.gov/home/" TargetMode="External"/><Relationship Id="rId61" Type="http://schemas.openxmlformats.org/officeDocument/2006/relationships/hyperlink" Target="https://www.ncei.noaa.gov/stormevents/" TargetMode="External"/><Relationship Id="rId19" Type="http://schemas.openxmlformats.org/officeDocument/2006/relationships/hyperlink" Target="https://meps.ahrq.gov/mepsweb/data_stats/download_data_files.jsp" TargetMode="External"/><Relationship Id="rId14" Type="http://schemas.openxmlformats.org/officeDocument/2006/relationships/hyperlink" Target="https://www.atsdr.cdc.gov/place-health/php/svi/index.html" TargetMode="External"/><Relationship Id="rId22" Type="http://schemas.openxmlformats.org/officeDocument/2006/relationships/hyperlink" Target="https://resdac.org/" TargetMode="External"/><Relationship Id="rId27" Type="http://schemas.openxmlformats.org/officeDocument/2006/relationships/hyperlink" Target="https://datatools.samhsa.gov/" TargetMode="External"/><Relationship Id="rId30" Type="http://schemas.openxmlformats.org/officeDocument/2006/relationships/hyperlink" Target="https://portal.gdc.cancer.gov/" TargetMode="External"/><Relationship Id="rId35" Type="http://schemas.openxmlformats.org/officeDocument/2006/relationships/hyperlink" Target="https://physionet.org/content/mimiciv/" TargetMode="External"/><Relationship Id="rId43" Type="http://schemas.openxmlformats.org/officeDocument/2006/relationships/hyperlink" Target="https://www.healthdata.org/data-tools-practices/interactive-visuals/gbd-results" TargetMode="External"/><Relationship Id="rId48" Type="http://schemas.openxmlformats.org/officeDocument/2006/relationships/hyperlink" Target="https://www.epa.gov/rsei" TargetMode="External"/><Relationship Id="rId56" Type="http://schemas.openxmlformats.org/officeDocument/2006/relationships/hyperlink" Target="https://waterdata.usgs.gov/" TargetMode="External"/><Relationship Id="rId64" Type="http://schemas.openxmlformats.org/officeDocument/2006/relationships/hyperlink" Target="https://www.usgs.gov/programs/gap-analysis-project/science/pad-us-data-overview" TargetMode="External"/><Relationship Id="rId69" Type="http://schemas.openxmlformats.org/officeDocument/2006/relationships/hyperlink" Target="https://dph.sc.gov/professionals/public-health-data" TargetMode="External"/><Relationship Id="rId77" Type="http://schemas.openxmlformats.org/officeDocument/2006/relationships/hyperlink" Target="https://nda.nih.gov/" TargetMode="External"/><Relationship Id="rId8" Type="http://schemas.openxmlformats.org/officeDocument/2006/relationships/hyperlink" Target="https://addhealth.cpc.unc.edu/" TargetMode="External"/><Relationship Id="rId51" Type="http://schemas.openxmlformats.org/officeDocument/2006/relationships/hyperlink" Target="https://epa.maps.arcgis.com/home/item.html?id=e5f95175f9184d508be636377796f1c2" TargetMode="External"/><Relationship Id="rId72" Type="http://schemas.openxmlformats.org/officeDocument/2006/relationships/hyperlink" Target="https://www.childhealthdata.org/learn-about-the-nsch/NSCH" TargetMode="External"/><Relationship Id="rId80" Type="http://schemas.openxmlformats.org/officeDocument/2006/relationships/hyperlink" Target="https://hints.cancer.gov/" TargetMode="External"/><Relationship Id="rId3" Type="http://schemas.openxmlformats.org/officeDocument/2006/relationships/hyperlink" Target="https://seer.cancer.gov/" TargetMode="External"/><Relationship Id="rId12" Type="http://schemas.openxmlformats.org/officeDocument/2006/relationships/hyperlink" Target="https://www.cdc.gov/yrbs/index.html" TargetMode="External"/><Relationship Id="rId17" Type="http://schemas.openxmlformats.org/officeDocument/2006/relationships/hyperlink" Target="https://www.ahrq.gov/sdoh/index.html" TargetMode="External"/><Relationship Id="rId25" Type="http://schemas.openxmlformats.org/officeDocument/2006/relationships/hyperlink" Target="https://www.samhsa.gov/data/data-we-collect/teds-treatment-episode-data-set/datafiles" TargetMode="External"/><Relationship Id="rId33" Type="http://schemas.openxmlformats.org/officeDocument/2006/relationships/hyperlink" Target="https://www.ncbi.nlm.nih.gov/sites/GDSbrowser?acc=GDS3837" TargetMode="External"/><Relationship Id="rId38" Type="http://schemas.openxmlformats.org/officeDocument/2006/relationships/hyperlink" Target="https://aqs.epa.gov/aqsweb/documents/data_api.html" TargetMode="External"/><Relationship Id="rId46" Type="http://schemas.openxmlformats.org/officeDocument/2006/relationships/hyperlink" Target="https://www.epa.gov/air-emissions-inventories/national-emissions-inventory-nei" TargetMode="External"/><Relationship Id="rId59" Type="http://schemas.openxmlformats.org/officeDocument/2006/relationships/hyperlink" Target="https://prism.oregonstate.edu/https:/prism.oregonstate.edu/" TargetMode="External"/><Relationship Id="rId67" Type="http://schemas.openxmlformats.org/officeDocument/2006/relationships/hyperlink" Target="https://www.scseagrant.org/sc-water-monitoring-portal/" TargetMode="External"/><Relationship Id="rId20" Type="http://schemas.openxmlformats.org/officeDocument/2006/relationships/hyperlink" Target="https://hcup-us.ahrq.gov/" TargetMode="External"/><Relationship Id="rId41" Type="http://schemas.openxmlformats.org/officeDocument/2006/relationships/hyperlink" Target="https://www.who.int/data/gho" TargetMode="External"/><Relationship Id="rId54" Type="http://schemas.openxmlformats.org/officeDocument/2006/relationships/hyperlink" Target="https://www.epa.gov/waterdata/attains" TargetMode="External"/><Relationship Id="rId62" Type="http://schemas.openxmlformats.org/officeDocument/2006/relationships/hyperlink" Target="https://www.fema.gov/flood-maps/products-tools/national-risk-index" TargetMode="External"/><Relationship Id="rId70" Type="http://schemas.openxmlformats.org/officeDocument/2006/relationships/hyperlink" Target="https://data-scdnr.opendata.arcgis.com/" TargetMode="External"/><Relationship Id="rId75" Type="http://schemas.openxmlformats.org/officeDocument/2006/relationships/hyperlink" Target="https://www.cdc.gov/nndss/site.html" TargetMode="External"/><Relationship Id="rId1" Type="http://schemas.openxmlformats.org/officeDocument/2006/relationships/hyperlink" Target="https://ncats.nih.gov/research/research-activities/n3c/data-overview/access" TargetMode="External"/><Relationship Id="rId6" Type="http://schemas.openxmlformats.org/officeDocument/2006/relationships/hyperlink" Target="https://www.framinghamheartstudy.org/" TargetMode="External"/><Relationship Id="rId15" Type="http://schemas.openxmlformats.org/officeDocument/2006/relationships/hyperlink" Target="https://www.census.gov/programs-surveys/acs/data/data-via-api.html" TargetMode="External"/><Relationship Id="rId23" Type="http://schemas.openxmlformats.org/officeDocument/2006/relationships/hyperlink" Target="https://healthdata.gov/" TargetMode="External"/><Relationship Id="rId28" Type="http://schemas.openxmlformats.org/officeDocument/2006/relationships/hyperlink" Target="https://www.cdc.gov/nchhstp/about/atlasplus.html" TargetMode="External"/><Relationship Id="rId36" Type="http://schemas.openxmlformats.org/officeDocument/2006/relationships/hyperlink" Target="https://synthea.org/" TargetMode="External"/><Relationship Id="rId49" Type="http://schemas.openxmlformats.org/officeDocument/2006/relationships/hyperlink" Target="https://echo.epa.gov/" TargetMode="External"/><Relationship Id="rId57" Type="http://schemas.openxmlformats.org/officeDocument/2006/relationships/hyperlink" Target="https://www.ncei.noaa.gov/cdo-web/" TargetMode="External"/><Relationship Id="rId10" Type="http://schemas.openxmlformats.org/officeDocument/2006/relationships/hyperlink" Target="https://wwwn.cdc.gov/nchs/nhanes/Default.aspx" TargetMode="External"/><Relationship Id="rId31" Type="http://schemas.openxmlformats.org/officeDocument/2006/relationships/hyperlink" Target="https://www.cancerimagingarchive.net/" TargetMode="External"/><Relationship Id="rId44" Type="http://schemas.openxmlformats.org/officeDocument/2006/relationships/hyperlink" Target="https://www.epa.gov/enviroatlas" TargetMode="External"/><Relationship Id="rId52" Type="http://schemas.openxmlformats.org/officeDocument/2006/relationships/hyperlink" Target="https://map22.epa.gov/cimc/brownfields" TargetMode="External"/><Relationship Id="rId60" Type="http://schemas.openxmlformats.org/officeDocument/2006/relationships/hyperlink" Target="https://www.climatologylab.org/gridmet.html" TargetMode="External"/><Relationship Id="rId65" Type="http://schemas.openxmlformats.org/officeDocument/2006/relationships/hyperlink" Target="https://www.usgs.gov/tools/estimated-annual-agricultural-pesticide-use" TargetMode="External"/><Relationship Id="rId73" Type="http://schemas.openxmlformats.org/officeDocument/2006/relationships/hyperlink" Target="https://www.cdc.gov/nchs/namcs/about/index.html" TargetMode="External"/><Relationship Id="rId78" Type="http://schemas.openxmlformats.org/officeDocument/2006/relationships/hyperlink" Target="https://www.niddk.nih.gov/about-niddk/strategic-plans-reports/usrds" TargetMode="External"/><Relationship Id="rId81" Type="http://schemas.openxmlformats.org/officeDocument/2006/relationships/table" Target="../tables/table1.xml"/><Relationship Id="rId4" Type="http://schemas.openxmlformats.org/officeDocument/2006/relationships/hyperlink" Target="https://www.whi.org/" TargetMode="External"/><Relationship Id="rId9" Type="http://schemas.openxmlformats.org/officeDocument/2006/relationships/hyperlink" Target="https://adni.loni.usc.edu/" TargetMode="External"/><Relationship Id="rId13" Type="http://schemas.openxmlformats.org/officeDocument/2006/relationships/hyperlink" Target="https://wonder.cdc.gov/" TargetMode="External"/><Relationship Id="rId18" Type="http://schemas.openxmlformats.org/officeDocument/2006/relationships/hyperlink" Target="https://ahrf.hrsa.gov/ALLVARs_list.asp" TargetMode="External"/><Relationship Id="rId39" Type="http://schemas.openxmlformats.org/officeDocument/2006/relationships/hyperlink" Target="https://www.ers.usda.gov/data-products/food-environment-atlas" TargetMode="External"/><Relationship Id="rId34" Type="http://schemas.openxmlformats.org/officeDocument/2006/relationships/hyperlink" Target="https://physionet.org/" TargetMode="External"/><Relationship Id="rId50" Type="http://schemas.openxmlformats.org/officeDocument/2006/relationships/hyperlink" Target="https://www.epa.gov/frs" TargetMode="External"/><Relationship Id="rId55" Type="http://schemas.openxmlformats.org/officeDocument/2006/relationships/hyperlink" Target="https://www.epa.gov/waterdata/waters-geospatial-data-downloads" TargetMode="External"/><Relationship Id="rId76" Type="http://schemas.openxmlformats.org/officeDocument/2006/relationships/hyperlink" Target="https://sleepdata.org/" TargetMode="External"/><Relationship Id="rId7" Type="http://schemas.openxmlformats.org/officeDocument/2006/relationships/hyperlink" Target="https://hrs.isr.umich.edu/" TargetMode="External"/><Relationship Id="rId71" Type="http://schemas.openxmlformats.org/officeDocument/2006/relationships/hyperlink" Target="https://dph.sc.gov/public/data-maps-reports" TargetMode="External"/><Relationship Id="rId2" Type="http://schemas.openxmlformats.org/officeDocument/2006/relationships/hyperlink" Target="https://www.researchallofus.org/data-tools/workbench/" TargetMode="External"/><Relationship Id="rId29" Type="http://schemas.openxmlformats.org/officeDocument/2006/relationships/hyperlink" Target="https://aidsvu.org/" TargetMode="External"/><Relationship Id="rId24" Type="http://schemas.openxmlformats.org/officeDocument/2006/relationships/hyperlink" Target="https://www.samhsa.gov/data/data-we-collect/nsduh-national-survey-drug-use-and-health" TargetMode="External"/><Relationship Id="rId40" Type="http://schemas.openxmlformats.org/officeDocument/2006/relationships/hyperlink" Target="https://www.ers.usda.gov/data-products/rural-urban-continuum-codes" TargetMode="External"/><Relationship Id="rId45" Type="http://schemas.openxmlformats.org/officeDocument/2006/relationships/hyperlink" Target="https://www.atsdr.cdc.gov/place-health/php/eji/index.html" TargetMode="External"/><Relationship Id="rId66" Type="http://schemas.openxmlformats.org/officeDocument/2006/relationships/hyperlink" Target="https://gis.des.sc.gov/SCDES_GIS_HU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210"/>
  <sheetViews>
    <sheetView tabSelected="1" workbookViewId="0">
      <pane ySplit="1" topLeftCell="A97" activePane="bottomLeft" state="frozen"/>
      <selection pane="bottomLeft" activeCell="B112" sqref="B112"/>
    </sheetView>
  </sheetViews>
  <sheetFormatPr baseColWidth="10" defaultColWidth="8.83203125" defaultRowHeight="14"/>
  <cols>
    <col min="1" max="1" width="10" customWidth="1"/>
    <col min="2" max="2" width="28" customWidth="1"/>
    <col min="3" max="3" width="29.5" customWidth="1"/>
    <col min="4" max="4" width="45" style="14" customWidth="1"/>
    <col min="5" max="5" width="50" style="14" customWidth="1"/>
    <col min="6" max="6" width="24" customWidth="1"/>
    <col min="7" max="7" width="26" customWidth="1"/>
    <col min="8" max="8" width="16" customWidth="1"/>
    <col min="9" max="9" width="24" customWidth="1"/>
    <col min="10" max="10" width="34" customWidth="1"/>
    <col min="11" max="11" width="38" customWidth="1"/>
    <col min="12" max="12" width="24" customWidth="1"/>
    <col min="13" max="13" width="26" customWidth="1"/>
    <col min="14" max="14" width="22" customWidth="1"/>
    <col min="15" max="15" width="24" customWidth="1"/>
    <col min="16" max="16" width="18" style="3" customWidth="1"/>
    <col min="17" max="17" width="18" customWidth="1"/>
    <col min="18" max="18" width="16" customWidth="1"/>
    <col min="19" max="20" width="15" customWidth="1"/>
    <col min="21" max="21" width="26.83203125" style="14" customWidth="1"/>
    <col min="22" max="23" width="18" customWidth="1"/>
    <col min="24" max="24" width="20" customWidth="1"/>
    <col min="25" max="30" width="36" customWidth="1"/>
    <col min="31" max="32" width="16" customWidth="1"/>
    <col min="33" max="33" width="18" customWidth="1"/>
    <col min="34" max="34" width="12" customWidth="1"/>
    <col min="35" max="35" width="16" customWidth="1"/>
    <col min="36" max="36" width="60" customWidth="1"/>
  </cols>
  <sheetData>
    <row r="1" spans="1:36" ht="30"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row>
    <row r="2" spans="1:36" ht="114" customHeight="1">
      <c r="A2" s="1" t="s">
        <v>36</v>
      </c>
      <c r="B2" s="1" t="s">
        <v>37</v>
      </c>
      <c r="C2" s="1" t="s">
        <v>38</v>
      </c>
      <c r="D2" s="4" t="s">
        <v>39</v>
      </c>
      <c r="E2" s="1" t="s">
        <v>40</v>
      </c>
      <c r="F2" s="1" t="s">
        <v>41</v>
      </c>
      <c r="G2" s="1" t="s">
        <v>41</v>
      </c>
      <c r="H2" s="1" t="s">
        <v>42</v>
      </c>
      <c r="I2" s="1" t="s">
        <v>43</v>
      </c>
      <c r="J2" s="1" t="s">
        <v>44</v>
      </c>
      <c r="K2" s="1" t="s">
        <v>45</v>
      </c>
      <c r="L2" s="1" t="s">
        <v>43</v>
      </c>
      <c r="M2" s="1" t="s">
        <v>46</v>
      </c>
      <c r="N2" s="1" t="s">
        <v>47</v>
      </c>
      <c r="O2" s="1" t="s">
        <v>48</v>
      </c>
      <c r="P2" s="1" t="s">
        <v>49</v>
      </c>
      <c r="Q2" s="1" t="s">
        <v>50</v>
      </c>
      <c r="R2" s="1" t="s">
        <v>51</v>
      </c>
      <c r="S2" s="1" t="s">
        <v>52</v>
      </c>
      <c r="T2" s="1" t="s">
        <v>51</v>
      </c>
      <c r="U2" s="1" t="s">
        <v>53</v>
      </c>
      <c r="V2" s="1" t="s">
        <v>54</v>
      </c>
      <c r="W2" s="1" t="s">
        <v>42</v>
      </c>
      <c r="X2" s="1" t="s">
        <v>42</v>
      </c>
      <c r="Y2" s="1" t="s">
        <v>55</v>
      </c>
      <c r="Z2" s="1" t="s">
        <v>56</v>
      </c>
      <c r="AA2" s="1" t="s">
        <v>57</v>
      </c>
      <c r="AB2" s="1" t="s">
        <v>58</v>
      </c>
      <c r="AC2" s="1" t="s">
        <v>59</v>
      </c>
      <c r="AD2" s="1"/>
      <c r="AE2" s="1" t="s">
        <v>60</v>
      </c>
      <c r="AF2" s="5">
        <v>46184</v>
      </c>
      <c r="AG2" s="1" t="s">
        <v>61</v>
      </c>
      <c r="AH2" s="1" t="s">
        <v>62</v>
      </c>
      <c r="AI2" s="1" t="s">
        <v>63</v>
      </c>
      <c r="AJ2" s="1" t="str">
        <f t="shared" ref="AJ2:AJ33" si="0">LOWER(_xlfn.SINGLE(_xlfn.TEXTJOIN(" ", TRUE, B2, C2, E2, F2, G2, I2, J2, K2, L2, M2, N2, O2, P2, Q2, X2, Y2, Z2, AA2, AB2, AC2, AD2)))</f>
        <v>n3c data enclave n3c data access (ncats) large harmonized clinical/ehr data resource, especially useful for covid-19 and related health outcomes research controlled/restricted controlled/restricted ehr/clinical cancer; genomics/molecular; synthetic/methods; renal; n3c; covid-19; clinical; ehr ehr; electronic health record; clinical; diagnosis: genomics; synthetic; simulation; ehr simulator; fake data; emr; patient-level; real-world data; claims; expenditures; n3c data enclave; health care utilization/cost; ehr/clinical ehr/clinical covid19; synthetic; cancer; renal patients contributed by healthcare organizations across the united states united states other patient high demographics; clinical conditions; procedures; medications; laboratory results; encounters; specialty clinic indicators; social determinants of health; in-hospital measures clinical phenotyping; data quality assessment; predictive modeling; collaborative research; data visualization cms data; all of us research program; seer program; the cancer imaging archive — tcia; hcup / hcupnet; values and classifications may differ between contributing institutions; coding, claims, and enrollment rules can change over time; restricted files may be needed. confirm the access tier and licensing terms. restricted access; expect registration, dua, dur, training, and irb approval requirements</v>
      </c>
    </row>
    <row r="3" spans="1:36" ht="114" customHeight="1">
      <c r="A3" s="1" t="s">
        <v>64</v>
      </c>
      <c r="B3" s="1" t="s">
        <v>65</v>
      </c>
      <c r="C3" s="1" t="s">
        <v>66</v>
      </c>
      <c r="D3" s="4" t="s">
        <v>67</v>
      </c>
      <c r="E3" s="1" t="s">
        <v>68</v>
      </c>
      <c r="F3" s="1" t="s">
        <v>69</v>
      </c>
      <c r="G3" s="1" t="s">
        <v>69</v>
      </c>
      <c r="H3" s="1" t="s">
        <v>42</v>
      </c>
      <c r="I3" s="1" t="s">
        <v>43</v>
      </c>
      <c r="J3" s="1" t="s">
        <v>70</v>
      </c>
      <c r="K3" s="1" t="s">
        <v>71</v>
      </c>
      <c r="L3" s="1" t="s">
        <v>72</v>
      </c>
      <c r="M3" s="1" t="s">
        <v>73</v>
      </c>
      <c r="N3" s="1" t="s">
        <v>74</v>
      </c>
      <c r="O3" s="1" t="s">
        <v>48</v>
      </c>
      <c r="P3" s="1" t="s">
        <v>49</v>
      </c>
      <c r="Q3" s="1" t="s">
        <v>75</v>
      </c>
      <c r="R3" s="1" t="s">
        <v>51</v>
      </c>
      <c r="S3" s="1" t="s">
        <v>52</v>
      </c>
      <c r="T3" s="1" t="s">
        <v>51</v>
      </c>
      <c r="U3" s="1" t="s">
        <v>76</v>
      </c>
      <c r="V3" s="1" t="s">
        <v>54</v>
      </c>
      <c r="W3" s="1" t="s">
        <v>42</v>
      </c>
      <c r="X3" s="1" t="s">
        <v>42</v>
      </c>
      <c r="Y3" s="1" t="s">
        <v>77</v>
      </c>
      <c r="Z3" s="1" t="s">
        <v>78</v>
      </c>
      <c r="AA3" s="1" t="s">
        <v>79</v>
      </c>
      <c r="AB3" s="1" t="s">
        <v>80</v>
      </c>
      <c r="AC3" s="1" t="s">
        <v>81</v>
      </c>
      <c r="AD3" s="1"/>
      <c r="AE3" s="1" t="s">
        <v>60</v>
      </c>
      <c r="AF3" s="5">
        <v>46245</v>
      </c>
      <c r="AG3" s="1" t="s">
        <v>82</v>
      </c>
      <c r="AH3" s="1" t="s">
        <v>62</v>
      </c>
      <c r="AI3" s="1" t="s">
        <v>63</v>
      </c>
      <c r="AJ3" s="1" t="str">
        <f t="shared" si="0"/>
        <v>all of us research program researcher workbench (all of us research hub) surveys, ehr, genomics, physical measurements, wearables, social/behavioral factors registered/controlled registered/controlled ehr/clinical ehr; clinical; genomics; surveys; physical measurements; wearable and mobile device data; natural language processing; transcriptomics; all of us ehr; clinical, electronic health record; genomics; survey; mobile device data; physical measurements; health care utilization/cost; rna sequencing; natural language processing; nlp; transcriptomics; proteomics; multiomics; clinical notes data; all of us; all of us research program survey infectious diseases; mental health and behavioral health; chronic diseases; lifestyle; environmental adults (18+) and are intentionally recruited from diverse and historically underrepresented populations united states other individual high demographics; socioeconomic; geographic; ehr-derived variables; mortality; claims; mobility; lifestyle; physical activity; sleep;  genotyping; biomarkers; whole genome sequencing; nutrition; environmental exposures; minute-level metrics; device provenance; gene expression (rna-seq); proteomics genomic and precision medicine; epidemiology and disease outcomes; clinical and translational research; social determinants of health; wearable and mobile health applications; data integration and method development; replication and validation studies meps; cms data; hcup / hcupnet coding, claims, and enrollment rules can change over time; restricted files may be needed. confirm the access tier and licensing terms. registration plus controlled files; application or agreement may be required.</v>
      </c>
    </row>
    <row r="4" spans="1:36" ht="114" customHeight="1">
      <c r="A4" s="1" t="s">
        <v>83</v>
      </c>
      <c r="B4" s="1" t="s">
        <v>84</v>
      </c>
      <c r="C4" s="1" t="s">
        <v>85</v>
      </c>
      <c r="D4" s="4" t="s">
        <v>86</v>
      </c>
      <c r="E4" s="1" t="s">
        <v>87</v>
      </c>
      <c r="F4" s="1" t="s">
        <v>88</v>
      </c>
      <c r="G4" s="1" t="s">
        <v>88</v>
      </c>
      <c r="H4" s="1" t="s">
        <v>62</v>
      </c>
      <c r="I4" s="1" t="s">
        <v>89</v>
      </c>
      <c r="J4" s="1" t="s">
        <v>90</v>
      </c>
      <c r="K4" s="1" t="s">
        <v>91</v>
      </c>
      <c r="L4" s="1" t="s">
        <v>92</v>
      </c>
      <c r="M4" s="1" t="s">
        <v>89</v>
      </c>
      <c r="N4" s="1" t="s">
        <v>93</v>
      </c>
      <c r="O4" s="1" t="s">
        <v>48</v>
      </c>
      <c r="P4" s="1" t="s">
        <v>49</v>
      </c>
      <c r="Q4" s="1" t="s">
        <v>50</v>
      </c>
      <c r="R4" s="1" t="s">
        <v>52</v>
      </c>
      <c r="S4" s="1" t="s">
        <v>51</v>
      </c>
      <c r="T4" s="1" t="s">
        <v>51</v>
      </c>
      <c r="U4" s="1" t="s">
        <v>94</v>
      </c>
      <c r="V4" s="1" t="s">
        <v>95</v>
      </c>
      <c r="W4" s="1" t="s">
        <v>62</v>
      </c>
      <c r="X4" s="1" t="s">
        <v>62</v>
      </c>
      <c r="Y4" s="1" t="s">
        <v>96</v>
      </c>
      <c r="Z4" s="1" t="s">
        <v>97</v>
      </c>
      <c r="AA4" s="1" t="s">
        <v>98</v>
      </c>
      <c r="AB4" s="1" t="s">
        <v>99</v>
      </c>
      <c r="AC4" s="1" t="s">
        <v>100</v>
      </c>
      <c r="AD4" s="1"/>
      <c r="AE4" s="1" t="s">
        <v>60</v>
      </c>
      <c r="AF4" s="5">
        <v>46184</v>
      </c>
      <c r="AG4" s="1" t="s">
        <v>61</v>
      </c>
      <c r="AH4" s="1" t="s">
        <v>62</v>
      </c>
      <c r="AI4" s="1" t="s">
        <v>63</v>
      </c>
      <c r="AJ4" s="1" t="str">
        <f t="shared" si="0"/>
        <v>seer program seer / seer*stat (seer) u.s. cancer incidence, survival, prevalence, mortality-linked cancer surveillance registered public-use registered public-use cancer seer; registry; survival; cancer; oncology; incidence; survival seer; registry; survival; cancer; oncology; incidence; seer program; registry/surveillance registry/surveillance cancer all reportable cancer cases diagnosed among residents of seer registry areas united states other patient medium demographics; cancer site and histology; stage and extent of disease; treatment and therapy; survival and follow-up; risk and exposure factors incidence and survival analyses; disparity studies; biomarker and imaging work n3c; tcia; cms; nci genomic data commons / tcga; the cancer imaging archive — tcia may require controlled access or have suppression/privacy rules; registry variables can be limited. application nad dua required for some files</v>
      </c>
    </row>
    <row r="5" spans="1:36" ht="115.5" customHeight="1">
      <c r="A5" s="1" t="s">
        <v>101</v>
      </c>
      <c r="B5" s="1" t="s">
        <v>102</v>
      </c>
      <c r="C5" s="1" t="s">
        <v>103</v>
      </c>
      <c r="D5" s="4" t="s">
        <v>104</v>
      </c>
      <c r="E5" s="1" t="s">
        <v>105</v>
      </c>
      <c r="F5" s="1" t="s">
        <v>41</v>
      </c>
      <c r="G5" s="1" t="s">
        <v>41</v>
      </c>
      <c r="H5" s="1" t="s">
        <v>42</v>
      </c>
      <c r="I5" s="1" t="s">
        <v>106</v>
      </c>
      <c r="J5" s="1" t="s">
        <v>107</v>
      </c>
      <c r="K5" s="3" t="s">
        <v>108</v>
      </c>
      <c r="L5" s="3" t="s">
        <v>72</v>
      </c>
      <c r="M5" s="1" t="s">
        <v>109</v>
      </c>
      <c r="N5" s="6" t="s">
        <v>110</v>
      </c>
      <c r="O5" s="1" t="s">
        <v>48</v>
      </c>
      <c r="P5" s="1" t="s">
        <v>49</v>
      </c>
      <c r="Q5" s="1" t="s">
        <v>75</v>
      </c>
      <c r="R5" s="1" t="s">
        <v>51</v>
      </c>
      <c r="S5" s="1" t="s">
        <v>52</v>
      </c>
      <c r="T5" s="1" t="s">
        <v>51</v>
      </c>
      <c r="U5" s="1" t="s">
        <v>111</v>
      </c>
      <c r="V5" s="1" t="s">
        <v>54</v>
      </c>
      <c r="W5" s="1" t="s">
        <v>42</v>
      </c>
      <c r="X5" s="1" t="s">
        <v>62</v>
      </c>
      <c r="Y5" s="1" t="s">
        <v>112</v>
      </c>
      <c r="Z5" s="1" t="s">
        <v>113</v>
      </c>
      <c r="AA5" s="1" t="s">
        <v>114</v>
      </c>
      <c r="AB5" s="1" t="s">
        <v>115</v>
      </c>
      <c r="AC5" s="1" t="s">
        <v>116</v>
      </c>
      <c r="AD5" s="1"/>
      <c r="AE5" s="1" t="s">
        <v>60</v>
      </c>
      <c r="AF5" s="5">
        <v>46184</v>
      </c>
      <c r="AG5" s="1" t="s">
        <v>117</v>
      </c>
      <c r="AH5" s="1" t="s">
        <v>62</v>
      </c>
      <c r="AI5" s="1" t="s">
        <v>63</v>
      </c>
      <c r="AJ5" s="1" t="str">
        <f t="shared" si="0"/>
        <v>women’s health initiative — whi women's health initiative (whi) long-term women’s health cohort and trials; cardiovascular disease, cancer, osteoporosis, aging controlled/restricted controlled/restricted women's health aging; cardiovascular disease; cancer; osteoporosis; cohort; longitudinal; epidemiology; chronic disease 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 survey population heatlh; chronic diseases; non-infectious diseases; diabetes; cancer; cardiovascular;   postmenopausal women aged 50–79; recruited from 40 clinical centers across the united states united states other individual medium 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 women's health; aging; cardiovascular disease; cancer epidemiology; osteoporosis and fracture research; longitudinal cohort analyses; biomarker and genomics studies; mortality and survival analyses; chronic disease prevention cms medicare claims; national death index (ndi); dbgap; topmed; acs; ahrf limited south carolina representation (~262 active participants); restricted-access data requiring proposal review, approvals, and applicable irb/data use agreements; submit project/paper proposal to whi committee; dua required for data.</v>
      </c>
    </row>
    <row r="6" spans="1:36" ht="170.25" customHeight="1">
      <c r="A6" s="1" t="s">
        <v>118</v>
      </c>
      <c r="B6" s="1" t="s">
        <v>119</v>
      </c>
      <c r="C6" s="1" t="s">
        <v>120</v>
      </c>
      <c r="D6" s="15" t="s">
        <v>121</v>
      </c>
      <c r="E6" s="1" t="s">
        <v>122</v>
      </c>
      <c r="F6" s="1" t="s">
        <v>69</v>
      </c>
      <c r="G6" s="1" t="s">
        <v>41</v>
      </c>
      <c r="H6" s="1" t="s">
        <v>42</v>
      </c>
      <c r="I6" s="1" t="s">
        <v>123</v>
      </c>
      <c r="J6" s="1" t="s">
        <v>124</v>
      </c>
      <c r="K6" s="1" t="s">
        <v>125</v>
      </c>
      <c r="L6" s="1" t="s">
        <v>126</v>
      </c>
      <c r="M6" s="6" t="s">
        <v>127</v>
      </c>
      <c r="N6" s="1" t="s">
        <v>128</v>
      </c>
      <c r="O6" s="1" t="s">
        <v>48</v>
      </c>
      <c r="P6" s="1" t="s">
        <v>49</v>
      </c>
      <c r="Q6" s="1" t="s">
        <v>75</v>
      </c>
      <c r="R6" s="1" t="s">
        <v>51</v>
      </c>
      <c r="S6" s="1" t="s">
        <v>129</v>
      </c>
      <c r="T6" s="1" t="s">
        <v>51</v>
      </c>
      <c r="U6" s="1" t="s">
        <v>130</v>
      </c>
      <c r="V6" s="1" t="s">
        <v>131</v>
      </c>
      <c r="W6" s="1" t="s">
        <v>42</v>
      </c>
      <c r="X6" s="1" t="s">
        <v>62</v>
      </c>
      <c r="Y6" s="1" t="s">
        <v>132</v>
      </c>
      <c r="Z6" s="1" t="s">
        <v>133</v>
      </c>
      <c r="AA6" s="1" t="s">
        <v>134</v>
      </c>
      <c r="AB6" s="1" t="s">
        <v>135</v>
      </c>
      <c r="AC6" s="1" t="s">
        <v>136</v>
      </c>
      <c r="AD6" s="1"/>
      <c r="AE6" s="1" t="s">
        <v>60</v>
      </c>
      <c r="AF6" s="5">
        <v>46184</v>
      </c>
      <c r="AG6" s="1" t="s">
        <v>117</v>
      </c>
      <c r="AH6" s="1" t="s">
        <v>137</v>
      </c>
      <c r="AI6" s="1" t="s">
        <v>63</v>
      </c>
      <c r="AJ6" s="1" t="str">
        <f t="shared" si="0"/>
        <v>biolincc nhlbi biolincc (biolincc) nhlbi clinical trial and epidemiologic study datasets and biospecimens registered/controlled controlled/restricted clinical trials cohort studies; biospecimens; genomics; cardiovascular disease; lung disease; blood disorders; nhlbi; data sharing; secondary analysis cohort studies; biospecimens; genomics; cardiovascular disease; lung disease; blood disorders; nhlbi;  cohort/longitudinal cardiovascular disease; pulmonary disease; hematology; molecular medicine participants enrolled in clinical trials and research studies across multiple disease areas. united states other individual medium demographics; clinical outcomes; laboratory measurements; biospecimen characterization data; cardiovascular risk factors; pulmonary function measures; hematologic measures; medication use; study endpoints; longitudinal follow-up measures demographics; laboratory measurements; biospecimen characterization data; cardiovascular risk factors; pulmonary function measures; hematologic measures; medication use; longitudinal follow-up measures dbgap; nhlbi biolincc biospecimen collections restricted access requiring registration, proposal review, irb documentation, rmda approval; study availability and variables vary across collections; datasets are generally phenotypic; not a population-representative database. registration required; project protocol submission; irb/ethics approval or exemption documentation required for most studies; research materials distribution agreement (rmda) required prior to data release</v>
      </c>
    </row>
    <row r="7" spans="1:36" ht="197.25" customHeight="1">
      <c r="A7" s="1" t="s">
        <v>138</v>
      </c>
      <c r="B7" s="1" t="s">
        <v>139</v>
      </c>
      <c r="C7" s="1" t="s">
        <v>140</v>
      </c>
      <c r="D7" s="15" t="s">
        <v>139</v>
      </c>
      <c r="E7" s="1" t="s">
        <v>141</v>
      </c>
      <c r="F7" s="1" t="s">
        <v>41</v>
      </c>
      <c r="G7" s="1" t="s">
        <v>41</v>
      </c>
      <c r="H7" s="1" t="s">
        <v>42</v>
      </c>
      <c r="I7" s="1" t="s">
        <v>142</v>
      </c>
      <c r="J7" s="1" t="s">
        <v>143</v>
      </c>
      <c r="K7" s="1" t="s">
        <v>144</v>
      </c>
      <c r="L7" s="1" t="s">
        <v>126</v>
      </c>
      <c r="M7" s="1" t="s">
        <v>145</v>
      </c>
      <c r="N7" s="1" t="s">
        <v>146</v>
      </c>
      <c r="O7" s="1" t="s">
        <v>48</v>
      </c>
      <c r="P7" s="1" t="s">
        <v>49</v>
      </c>
      <c r="Q7" s="1" t="s">
        <v>75</v>
      </c>
      <c r="R7" s="1" t="s">
        <v>51</v>
      </c>
      <c r="S7" s="1" t="s">
        <v>129</v>
      </c>
      <c r="T7" s="1" t="s">
        <v>51</v>
      </c>
      <c r="U7" s="1" t="s">
        <v>147</v>
      </c>
      <c r="V7" s="1" t="s">
        <v>148</v>
      </c>
      <c r="W7" s="1" t="s">
        <v>42</v>
      </c>
      <c r="X7" s="1" t="s">
        <v>137</v>
      </c>
      <c r="Y7" s="1" t="s">
        <v>149</v>
      </c>
      <c r="Z7" s="1" t="s">
        <v>150</v>
      </c>
      <c r="AA7" s="1" t="s">
        <v>151</v>
      </c>
      <c r="AB7" s="1" t="s">
        <v>152</v>
      </c>
      <c r="AC7" s="1" t="s">
        <v>153</v>
      </c>
      <c r="AD7" s="1"/>
      <c r="AE7" s="1" t="s">
        <v>60</v>
      </c>
      <c r="AF7" s="5">
        <v>46184</v>
      </c>
      <c r="AG7" s="1" t="s">
        <v>117</v>
      </c>
      <c r="AH7" s="1" t="s">
        <v>62</v>
      </c>
      <c r="AI7" s="1" t="s">
        <v>63</v>
      </c>
      <c r="AJ7" s="1" t="str">
        <f t="shared" si="0"/>
        <v>framingham heart study fhs / biolincc (biolincc) longitudinal cardiovascular cohort data, clinical measures, genetic and epidemiologic data controlled/restricted controlled/restricted chronic disease cardiovascular disease; epidemiology; longitudinal; aging; risk factors; genomics; biomarkers; cohort study cardiovascular disease; epidemiology; longitudinal; aging; risk factors; genomics; biomarkers; cohort study; environmental factors; chronic diseases; non-infectious diseases cohort/longitudinal cardiovascular disease; chronic diseases;  multigenerational study starting from 1948, sampled men and women from framingham, massachuesetts. sampling phases expanded to future generations (spouses &amp; offspring) to study additional factors to cardiovascular health and other diseases. united states other individual low 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 cardiovascular disease epidemiology; longitudinal cohort analyses; chronic disease risk factor research; stroke and cerebrovascular outcomes; aging research; biomarker and genomics studies; mortality and survival analyses; predictive modeling biolincc; dbgap restricted access requiring proposal approval; not south carolina-specific; geographic/area-level data availability unclear; generalizability may be limited; variables vary by cohort and exam cycle. restricted access; proposal approval and data request required; irb/ethics documentation and data use agreement/rmda may be required.</v>
      </c>
    </row>
    <row r="8" spans="1:36" ht="327.75" customHeight="1">
      <c r="A8" s="1" t="s">
        <v>154</v>
      </c>
      <c r="B8" s="1" t="s">
        <v>155</v>
      </c>
      <c r="C8" s="1" t="s">
        <v>156</v>
      </c>
      <c r="D8" s="4" t="s">
        <v>157</v>
      </c>
      <c r="E8" s="1" t="s">
        <v>158</v>
      </c>
      <c r="F8" s="1" t="s">
        <v>159</v>
      </c>
      <c r="G8" s="1" t="s">
        <v>160</v>
      </c>
      <c r="H8" s="1" t="s">
        <v>62</v>
      </c>
      <c r="I8" s="1" t="s">
        <v>161</v>
      </c>
      <c r="J8" s="1" t="s">
        <v>162</v>
      </c>
      <c r="K8" s="1" t="s">
        <v>163</v>
      </c>
      <c r="L8" s="1" t="s">
        <v>126</v>
      </c>
      <c r="M8" s="1" t="s">
        <v>164</v>
      </c>
      <c r="N8" s="1" t="s">
        <v>165</v>
      </c>
      <c r="O8" s="1" t="s">
        <v>48</v>
      </c>
      <c r="P8" s="1" t="s">
        <v>49</v>
      </c>
      <c r="Q8" s="1" t="s">
        <v>75</v>
      </c>
      <c r="R8" s="1" t="s">
        <v>51</v>
      </c>
      <c r="S8" s="1" t="s">
        <v>52</v>
      </c>
      <c r="T8" s="1" t="s">
        <v>51</v>
      </c>
      <c r="U8" s="1" t="s">
        <v>166</v>
      </c>
      <c r="V8" s="1" t="s">
        <v>167</v>
      </c>
      <c r="W8" s="1" t="s">
        <v>42</v>
      </c>
      <c r="X8" s="1" t="s">
        <v>62</v>
      </c>
      <c r="Y8" s="1" t="s">
        <v>168</v>
      </c>
      <c r="Z8" s="1" t="s">
        <v>169</v>
      </c>
      <c r="AA8" s="1" t="s">
        <v>170</v>
      </c>
      <c r="AB8" s="1" t="s">
        <v>171</v>
      </c>
      <c r="AC8" s="1" t="s">
        <v>172</v>
      </c>
      <c r="AD8" s="1"/>
      <c r="AE8" s="1" t="s">
        <v>52</v>
      </c>
      <c r="AF8" s="5">
        <v>46185</v>
      </c>
      <c r="AG8" s="1" t="s">
        <v>61</v>
      </c>
      <c r="AH8" s="1" t="s">
        <v>62</v>
      </c>
      <c r="AI8" s="1" t="s">
        <v>63</v>
      </c>
      <c r="AJ8" s="1" t="str">
        <f t="shared" si="0"/>
        <v>health and retirement study — hrs hrs (health and retirement study) longitudinal aging, retirement, health, cognition, disability, economics registered public-use plus restricted files public-use plus restricted files aging aging; older adults; longitudinal; multimorbidity; cognition; health trajectories; retirement; family aging; older adults; longitudinal; multimorbidity; cognition; health trajectories; add health; cohort/longitudinal; retirement plans; family cohort/longitudinal aging; health; retirement approximately 20,000 u.s. adults aged 50 and older, surveyed every two years united states other individual medium demographics; health status; symptoms; health behaviors; adl/iadl difficulty and dependence; mobility; functional limitations; falls; incontinence; cognition; cognitive tests; work related disability; wealth; work history; socioeconomic status; grip strength; gait speed; weight; biomakers 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 add health; cms may be cohort-specific and not fully generalizable; check sampling (african-americans and hispanics are oversampled), follow-up, and restricted tiers. confirm the access tier and licensing terms. resitration for public data required; restricted data only available through rda</v>
      </c>
    </row>
    <row r="9" spans="1:36" ht="256.5" customHeight="1">
      <c r="A9" s="1" t="s">
        <v>173</v>
      </c>
      <c r="B9" s="1" t="s">
        <v>174</v>
      </c>
      <c r="C9" s="1" t="s">
        <v>175</v>
      </c>
      <c r="D9" s="4" t="s">
        <v>176</v>
      </c>
      <c r="E9" s="1" t="s">
        <v>177</v>
      </c>
      <c r="F9" s="1" t="s">
        <v>160</v>
      </c>
      <c r="G9" s="1" t="s">
        <v>160</v>
      </c>
      <c r="H9" s="1" t="s">
        <v>62</v>
      </c>
      <c r="I9" s="1" t="s">
        <v>161</v>
      </c>
      <c r="J9" s="1" t="s">
        <v>178</v>
      </c>
      <c r="K9" s="1" t="s">
        <v>179</v>
      </c>
      <c r="L9" s="1" t="s">
        <v>126</v>
      </c>
      <c r="M9" s="1" t="s">
        <v>161</v>
      </c>
      <c r="N9" s="1" t="s">
        <v>180</v>
      </c>
      <c r="O9" s="1" t="s">
        <v>48</v>
      </c>
      <c r="P9" s="1" t="s">
        <v>49</v>
      </c>
      <c r="Q9" s="1" t="s">
        <v>75</v>
      </c>
      <c r="R9" s="1" t="s">
        <v>51</v>
      </c>
      <c r="S9" s="1" t="s">
        <v>52</v>
      </c>
      <c r="T9" s="1" t="s">
        <v>51</v>
      </c>
      <c r="U9" s="1" t="s">
        <v>181</v>
      </c>
      <c r="V9" s="1" t="s">
        <v>54</v>
      </c>
      <c r="W9" s="1" t="s">
        <v>42</v>
      </c>
      <c r="X9" s="1" t="s">
        <v>62</v>
      </c>
      <c r="Y9" s="1" t="s">
        <v>182</v>
      </c>
      <c r="Z9" s="1" t="s">
        <v>183</v>
      </c>
      <c r="AA9" s="1" t="s">
        <v>184</v>
      </c>
      <c r="AB9" s="1" t="s">
        <v>185</v>
      </c>
      <c r="AC9" s="1" t="s">
        <v>186</v>
      </c>
      <c r="AD9" s="1"/>
      <c r="AE9" s="1" t="s">
        <v>52</v>
      </c>
      <c r="AF9" s="5">
        <v>46185</v>
      </c>
      <c r="AG9" s="1" t="s">
        <v>61</v>
      </c>
      <c r="AH9" s="1" t="s">
        <v>62</v>
      </c>
      <c r="AI9" s="1" t="s">
        <v>63</v>
      </c>
      <c r="AJ9" s="1" t="str">
        <f t="shared" si="0"/>
        <v>add health add health (add health) longitudinal adolescent-to-adult health, behavior, social environment, cognition, psychosocial public-use plus restricted files public-use plus restricted files aging aging, longitudinal; cognition; health trajectories aging; longitudinal; cognition; health trajectories; add health; cohort/longitudinal; behavioral health cohort/longitudinal aging 20,000+ u.s. adolescents who were in grades 7-12 during the 1994-95 school year, followed into adulthood across six waves of data collection united states other individual medium demographics; school and academic context; social network and relational data; biomarker data; genetic data; health and risk behaviors; psychosocial contructs; family structure; neighborhood and community; socioeconomic status; mover distance education and youth development; health and well-being; social and behavioral sciences cms; nhanes; hrs may be cohort-specific and not fully generalizable; check sampling, follow-up, and restricted tiers. confirm the access tier and licensing terms. registration required for public-use data; contract, data security plan, and irb approval required for restricted-use data</v>
      </c>
    </row>
    <row r="10" spans="1:36" ht="313.5" customHeight="1">
      <c r="A10" s="1" t="s">
        <v>187</v>
      </c>
      <c r="B10" s="1" t="s">
        <v>188</v>
      </c>
      <c r="C10" s="1" t="s">
        <v>189</v>
      </c>
      <c r="D10" s="1" t="s">
        <v>190</v>
      </c>
      <c r="E10" s="1" t="s">
        <v>191</v>
      </c>
      <c r="F10" s="1" t="s">
        <v>41</v>
      </c>
      <c r="G10" s="1" t="s">
        <v>41</v>
      </c>
      <c r="H10" s="1" t="s">
        <v>42</v>
      </c>
      <c r="I10" s="1" t="s">
        <v>192</v>
      </c>
      <c r="J10" s="1" t="s">
        <v>193</v>
      </c>
      <c r="K10" s="1" t="s">
        <v>194</v>
      </c>
      <c r="L10" s="1" t="s">
        <v>126</v>
      </c>
      <c r="M10" s="1" t="s">
        <v>195</v>
      </c>
      <c r="N10" s="1" t="s">
        <v>196</v>
      </c>
      <c r="O10" s="1" t="s">
        <v>197</v>
      </c>
      <c r="P10" s="1" t="s">
        <v>49</v>
      </c>
      <c r="Q10" s="1" t="s">
        <v>75</v>
      </c>
      <c r="R10" s="1" t="s">
        <v>51</v>
      </c>
      <c r="S10" s="1" t="s">
        <v>52</v>
      </c>
      <c r="T10" s="1" t="s">
        <v>51</v>
      </c>
      <c r="U10" s="1" t="s">
        <v>198</v>
      </c>
      <c r="V10" s="1" t="s">
        <v>54</v>
      </c>
      <c r="W10" s="1" t="s">
        <v>42</v>
      </c>
      <c r="X10" s="1" t="s">
        <v>137</v>
      </c>
      <c r="Y10" s="1" t="s">
        <v>199</v>
      </c>
      <c r="Z10" s="1" t="s">
        <v>200</v>
      </c>
      <c r="AA10" s="1" t="s">
        <v>201</v>
      </c>
      <c r="AB10" s="1" t="s">
        <v>202</v>
      </c>
      <c r="AC10" s="1" t="s">
        <v>203</v>
      </c>
      <c r="AD10" s="1"/>
      <c r="AE10" s="1" t="s">
        <v>52</v>
      </c>
      <c r="AF10" s="5">
        <v>46185</v>
      </c>
      <c r="AG10" s="1" t="s">
        <v>61</v>
      </c>
      <c r="AH10" s="1" t="s">
        <v>62</v>
      </c>
      <c r="AI10" s="1" t="s">
        <v>63</v>
      </c>
      <c r="AJ10" s="1" t="str">
        <f t="shared" si="0"/>
        <v>uk biobank uk biobank (uk biobank) large cohort with health, lifestyle, imaging, genetics, linked medical records controlled/restricted controlled/restricted genomics/molecular aging, ehr/clinical; imaging; chronic disease; cancer; mental health; sdoh/geospatial uk biobank; cohort/longitudinal; genomics; genetics; molecular epidemiology; hospital records; aging; chronic disease; cancer; medical imaging; imaging biomarkers; mnetal health; cognitive function; physical activity; nutrition; sleep; social determinants of health cohort/longitudinal genomics/molecular; aging, ehr/clinical; imaging; chronic disease; cancer; mental health; sdoh/geospatial 500,000 participants aged 40–69 years at enrollment global/international other individual low demographics; lifestyle and behavior (smoking history, alcohol consumption, diet, sleep, ...), health measurements (blood pressure, blood and urine tests, ecg, …), genetic data, imaging and functionla data, questionaire and survey data (mental health, sdoh, health behaviors, ...) disease etiology and risk factor studies, genetic and genomic research, drug discovery and target identification, biomarker discovery and validation, longitudinal/cohort studies, public health, epidemiology, cross-disease analyses all of us research program, hrs, cms, adni may be cohort-specific and not fully generalizable; check sampling, follow-up, and restricted tiers. confirm the access tier and licensing terms registration, approval, and fees required for access</v>
      </c>
    </row>
    <row r="11" spans="1:36" ht="342" customHeight="1">
      <c r="A11" s="1" t="s">
        <v>204</v>
      </c>
      <c r="B11" s="1" t="s">
        <v>205</v>
      </c>
      <c r="C11" s="1" t="s">
        <v>206</v>
      </c>
      <c r="D11" s="4" t="s">
        <v>207</v>
      </c>
      <c r="E11" s="1" t="s">
        <v>208</v>
      </c>
      <c r="F11" s="1" t="s">
        <v>69</v>
      </c>
      <c r="G11" s="1" t="s">
        <v>69</v>
      </c>
      <c r="H11" s="1" t="s">
        <v>42</v>
      </c>
      <c r="I11" s="1" t="s">
        <v>209</v>
      </c>
      <c r="J11" s="1" t="s">
        <v>210</v>
      </c>
      <c r="K11" s="1" t="s">
        <v>211</v>
      </c>
      <c r="L11" s="1" t="s">
        <v>126</v>
      </c>
      <c r="M11" s="1" t="s">
        <v>212</v>
      </c>
      <c r="N11" s="1" t="s">
        <v>213</v>
      </c>
      <c r="O11" s="1" t="s">
        <v>197</v>
      </c>
      <c r="P11" s="1" t="s">
        <v>49</v>
      </c>
      <c r="Q11" s="1" t="s">
        <v>75</v>
      </c>
      <c r="R11" s="1" t="s">
        <v>51</v>
      </c>
      <c r="S11" s="1" t="s">
        <v>52</v>
      </c>
      <c r="T11" s="1" t="s">
        <v>51</v>
      </c>
      <c r="U11" s="1" t="s">
        <v>214</v>
      </c>
      <c r="V11" s="1" t="s">
        <v>54</v>
      </c>
      <c r="W11" s="1" t="s">
        <v>42</v>
      </c>
      <c r="X11" s="1" t="s">
        <v>62</v>
      </c>
      <c r="Y11" s="1" t="s">
        <v>215</v>
      </c>
      <c r="Z11" s="1" t="s">
        <v>216</v>
      </c>
      <c r="AA11" s="1" t="s">
        <v>217</v>
      </c>
      <c r="AB11" s="1" t="s">
        <v>185</v>
      </c>
      <c r="AC11" s="1" t="s">
        <v>218</v>
      </c>
      <c r="AD11" s="1"/>
      <c r="AE11" s="1" t="s">
        <v>52</v>
      </c>
      <c r="AF11" s="5">
        <v>46188</v>
      </c>
      <c r="AG11" s="1" t="s">
        <v>61</v>
      </c>
      <c r="AH11" s="1" t="s">
        <v>62</v>
      </c>
      <c r="AI11" s="1" t="s">
        <v>63</v>
      </c>
      <c r="AJ11" s="1" t="str">
        <f t="shared" si="0"/>
        <v>adni alzheimer’s disease neuroimaging initiative (adni) alzheimer’s clinical, imaging, genetic, biomarker, and longitudinal data registered/controlled registered/controlled imaging aging; genomics/molecular; mental health; clinical trials; cognition aging; genomics/molecular; mental health; clinical trials; cognition; adni; cohort/longitudinal cohort/longitudinal imaging; genomics/molecular; mental health; clinical trials thousands of adults age ~55–90 global/international other individual medium 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 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 uk biobank; all of us research program; health and retirement study (hrs); dbgap; nhanes; acs; cdc places; clinicaltrials.gov may be cohort-specific and not fully generalizable; check sampling, follow-up, and restricted tiers. confirm the access tier and licensing terms. registration plus controlled files; application  required.</v>
      </c>
    </row>
    <row r="12" spans="1:36" ht="342" customHeight="1">
      <c r="A12" s="1" t="s">
        <v>219</v>
      </c>
      <c r="B12" s="1" t="s">
        <v>220</v>
      </c>
      <c r="C12" s="1" t="s">
        <v>221</v>
      </c>
      <c r="D12" s="4" t="s">
        <v>222</v>
      </c>
      <c r="E12" s="1" t="s">
        <v>223</v>
      </c>
      <c r="F12" s="1" t="s">
        <v>224</v>
      </c>
      <c r="G12" s="1" t="s">
        <v>160</v>
      </c>
      <c r="H12" s="1" t="s">
        <v>137</v>
      </c>
      <c r="I12" s="1" t="s">
        <v>142</v>
      </c>
      <c r="J12" s="1" t="s">
        <v>225</v>
      </c>
      <c r="K12" s="1" t="s">
        <v>226</v>
      </c>
      <c r="L12" s="1" t="s">
        <v>72</v>
      </c>
      <c r="M12" s="1" t="s">
        <v>227</v>
      </c>
      <c r="N12" s="1" t="s">
        <v>228</v>
      </c>
      <c r="O12" s="1" t="s">
        <v>48</v>
      </c>
      <c r="P12" s="1" t="s">
        <v>49</v>
      </c>
      <c r="Q12" s="1" t="s">
        <v>75</v>
      </c>
      <c r="R12" s="1" t="s">
        <v>51</v>
      </c>
      <c r="S12" s="1" t="s">
        <v>51</v>
      </c>
      <c r="T12" s="1" t="s">
        <v>51</v>
      </c>
      <c r="U12" s="1" t="s">
        <v>229</v>
      </c>
      <c r="V12" s="1" t="s">
        <v>230</v>
      </c>
      <c r="W12" s="1" t="s">
        <v>62</v>
      </c>
      <c r="X12" s="1" t="s">
        <v>42</v>
      </c>
      <c r="Y12" s="1" t="s">
        <v>231</v>
      </c>
      <c r="Z12" s="1" t="s">
        <v>232</v>
      </c>
      <c r="AA12" s="1" t="s">
        <v>233</v>
      </c>
      <c r="AB12" s="1" t="s">
        <v>234</v>
      </c>
      <c r="AC12" s="1" t="s">
        <v>235</v>
      </c>
      <c r="AD12" s="1"/>
      <c r="AE12" s="1" t="s">
        <v>52</v>
      </c>
      <c r="AF12" s="5">
        <v>46188</v>
      </c>
      <c r="AG12" s="1" t="s">
        <v>61</v>
      </c>
      <c r="AH12" s="1" t="s">
        <v>62</v>
      </c>
      <c r="AI12" s="1" t="s">
        <v>63</v>
      </c>
      <c r="AJ12" s="1" t="str">
        <f t="shared" si="0"/>
        <v>nhanes nhanes data (cdc) u.s. health, nutrition, physical exams, laboratory measures, biospecimens open/public public-use plus restricted files chronic disease food/nutrition; environmental exposure; genomics/molecular; health care utilization/cost; chronic disease; risk factors; prevalence; health behaviors; surveillance chronic disease; risk factors; prevalence; health behaviors; surveillance; nhanes; survey survey food/nutrition; environmental exposure; genomics/molecular; health care utilization/cost; chronic disease ~5,000 participants/year, civilian, noninstitutionalized u.s. population of all ages united states other individual high 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 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 brfss; nhis; meps; cdc places cross-sectional design limits causal inference; self-reported measures may introduce recall bias; some subpopulations have small sample sizes; complex survey weights and design must be accounted for in analyses open/public source; verify citation, download, and data user agreement.</v>
      </c>
    </row>
    <row r="13" spans="1:36" ht="159.75" customHeight="1">
      <c r="A13" s="1" t="s">
        <v>236</v>
      </c>
      <c r="B13" s="1" t="s">
        <v>237</v>
      </c>
      <c r="C13" s="1" t="s">
        <v>238</v>
      </c>
      <c r="D13" s="4" t="s">
        <v>239</v>
      </c>
      <c r="E13" s="1" t="s">
        <v>240</v>
      </c>
      <c r="F13" s="1" t="s">
        <v>224</v>
      </c>
      <c r="G13" s="1" t="s">
        <v>224</v>
      </c>
      <c r="H13" s="1" t="s">
        <v>137</v>
      </c>
      <c r="I13" s="1" t="s">
        <v>142</v>
      </c>
      <c r="J13" s="1" t="s">
        <v>241</v>
      </c>
      <c r="K13" s="1" t="s">
        <v>242</v>
      </c>
      <c r="L13" s="1" t="s">
        <v>72</v>
      </c>
      <c r="M13" s="1" t="s">
        <v>243</v>
      </c>
      <c r="N13" s="1" t="s">
        <v>244</v>
      </c>
      <c r="O13" s="1" t="s">
        <v>48</v>
      </c>
      <c r="P13" s="1" t="s">
        <v>49</v>
      </c>
      <c r="Q13" s="1" t="s">
        <v>75</v>
      </c>
      <c r="R13" s="1" t="s">
        <v>51</v>
      </c>
      <c r="S13" s="1" t="s">
        <v>52</v>
      </c>
      <c r="T13" s="1" t="s">
        <v>51</v>
      </c>
      <c r="U13" s="1" t="s">
        <v>245</v>
      </c>
      <c r="V13" s="1" t="s">
        <v>230</v>
      </c>
      <c r="W13" s="1" t="s">
        <v>62</v>
      </c>
      <c r="X13" s="1" t="s">
        <v>42</v>
      </c>
      <c r="Y13" s="1" t="s">
        <v>246</v>
      </c>
      <c r="Z13" s="1" t="s">
        <v>247</v>
      </c>
      <c r="AA13" s="1" t="s">
        <v>248</v>
      </c>
      <c r="AB13" s="1" t="s">
        <v>249</v>
      </c>
      <c r="AC13" s="1" t="s">
        <v>235</v>
      </c>
      <c r="AD13" s="1"/>
      <c r="AE13" s="1" t="s">
        <v>52</v>
      </c>
      <c r="AF13" s="5">
        <v>46188</v>
      </c>
      <c r="AG13" s="1" t="s">
        <v>61</v>
      </c>
      <c r="AH13" s="1" t="s">
        <v>62</v>
      </c>
      <c r="AI13" s="1" t="s">
        <v>63</v>
      </c>
      <c r="AJ13" s="1" t="str">
        <f t="shared" si="0"/>
        <v>nhis nhis data (cdc) u.s. household health survey; health status, access, utilization, conditions open/public open/public chronic disease health care utilization/cost; mental health; maternal/child health; substance use; hiv/infectious disease; sdoh/geospatial; aging; chronic disease; risk factors; prevalence; health behaviors; surveillance 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 survey chronic disease; health care utilization/cost; mental health; maternal/child health; substance use; hiv/infectious disease; sdoh/geospatial; aging civilian, noninstitutionalized u.s. population of all ages united states other individual high 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 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 cms; nhanes; meps; acs primarily cross-sectional data; many measures are self-reported and subject to recall bias; limited clinical/laboratory data compared with nhanes; some subgroup analyses may be underpowered; complex survey design requires weighting open/public source; verify citation, download, and data user agreement.</v>
      </c>
    </row>
    <row r="14" spans="1:36" ht="409.5" customHeight="1">
      <c r="A14" s="1" t="s">
        <v>250</v>
      </c>
      <c r="B14" s="1" t="s">
        <v>251</v>
      </c>
      <c r="C14" s="1" t="s">
        <v>252</v>
      </c>
      <c r="D14" s="1" t="s">
        <v>253</v>
      </c>
      <c r="E14" s="1" t="s">
        <v>254</v>
      </c>
      <c r="F14" s="1" t="s">
        <v>224</v>
      </c>
      <c r="G14" s="1" t="s">
        <v>224</v>
      </c>
      <c r="H14" s="1" t="s">
        <v>137</v>
      </c>
      <c r="I14" s="1" t="s">
        <v>142</v>
      </c>
      <c r="J14" s="1" t="s">
        <v>255</v>
      </c>
      <c r="K14" s="1" t="s">
        <v>256</v>
      </c>
      <c r="L14" s="1" t="s">
        <v>72</v>
      </c>
      <c r="M14" s="1" t="s">
        <v>257</v>
      </c>
      <c r="N14" s="1" t="s">
        <v>258</v>
      </c>
      <c r="O14" s="1" t="s">
        <v>48</v>
      </c>
      <c r="P14" s="1" t="s">
        <v>259</v>
      </c>
      <c r="Q14" s="1" t="s">
        <v>75</v>
      </c>
      <c r="R14" s="1" t="s">
        <v>51</v>
      </c>
      <c r="S14" s="1" t="s">
        <v>51</v>
      </c>
      <c r="T14" s="1" t="s">
        <v>52</v>
      </c>
      <c r="U14" s="1" t="s">
        <v>260</v>
      </c>
      <c r="V14" s="1" t="s">
        <v>261</v>
      </c>
      <c r="W14" s="1" t="s">
        <v>62</v>
      </c>
      <c r="X14" s="1" t="s">
        <v>42</v>
      </c>
      <c r="Y14" s="1" t="s">
        <v>262</v>
      </c>
      <c r="Z14" s="1" t="s">
        <v>263</v>
      </c>
      <c r="AA14" s="1" t="s">
        <v>264</v>
      </c>
      <c r="AB14" s="1" t="s">
        <v>265</v>
      </c>
      <c r="AC14" s="1" t="s">
        <v>266</v>
      </c>
      <c r="AD14" s="1"/>
      <c r="AE14" s="1" t="s">
        <v>51</v>
      </c>
      <c r="AF14" s="5">
        <v>46188</v>
      </c>
      <c r="AG14" s="1" t="s">
        <v>117</v>
      </c>
      <c r="AH14" s="1" t="s">
        <v>62</v>
      </c>
      <c r="AI14" s="1" t="s">
        <v>63</v>
      </c>
      <c r="AJ14" s="1" t="str">
        <f t="shared" si="0"/>
        <v>brfss brfss annual data (cdc) state-level behavioral risk factors, chronic disease, preventive care, health behaviors open/public open/public chronic disease survey; surveillance; health behaviors; risk factors; preventive care; mental health; 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 survey chronic disease; health behaviors; preventive care; mental health; substance use; tobacco use; alcohol use; physical activity; nutrition; obesity; diabetes; hypertension; health care access; immunization; disability; sdoh noninsitionalized us citizens +18 years of age united states state individual high 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 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 cdc places; nhis; nhanes; meps; acs; cdc wonder; county health rankings; cdc/atsdr svi 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 open/public source; no registration or application required for annual public-use files; verify citation, documentation, survey year, and weighting guidance before analysis.</v>
      </c>
    </row>
    <row r="15" spans="1:36" ht="399" customHeight="1">
      <c r="A15" s="1" t="s">
        <v>267</v>
      </c>
      <c r="B15" s="1" t="s">
        <v>268</v>
      </c>
      <c r="C15" s="1" t="s">
        <v>269</v>
      </c>
      <c r="D15" s="4" t="s">
        <v>270</v>
      </c>
      <c r="E15" s="1" t="s">
        <v>271</v>
      </c>
      <c r="F15" s="1" t="s">
        <v>224</v>
      </c>
      <c r="G15" s="1" t="s">
        <v>224</v>
      </c>
      <c r="H15" s="1" t="s">
        <v>137</v>
      </c>
      <c r="I15" s="1" t="s">
        <v>272</v>
      </c>
      <c r="J15" s="1" t="s">
        <v>273</v>
      </c>
      <c r="K15" s="1" t="s">
        <v>274</v>
      </c>
      <c r="L15" s="1" t="s">
        <v>72</v>
      </c>
      <c r="M15" s="1" t="s">
        <v>275</v>
      </c>
      <c r="N15" s="1" t="s">
        <v>276</v>
      </c>
      <c r="O15" s="1" t="s">
        <v>48</v>
      </c>
      <c r="P15" s="1" t="s">
        <v>49</v>
      </c>
      <c r="Q15" s="1" t="s">
        <v>75</v>
      </c>
      <c r="R15" s="1" t="s">
        <v>51</v>
      </c>
      <c r="S15" s="1" t="s">
        <v>52</v>
      </c>
      <c r="T15" s="1" t="s">
        <v>51</v>
      </c>
      <c r="U15" s="1" t="s">
        <v>277</v>
      </c>
      <c r="V15" s="1" t="s">
        <v>230</v>
      </c>
      <c r="W15" s="1" t="s">
        <v>62</v>
      </c>
      <c r="X15" s="1" t="s">
        <v>42</v>
      </c>
      <c r="Y15" s="1" t="s">
        <v>278</v>
      </c>
      <c r="Z15" s="1" t="s">
        <v>279</v>
      </c>
      <c r="AA15" s="1" t="s">
        <v>280</v>
      </c>
      <c r="AB15" s="1" t="s">
        <v>281</v>
      </c>
      <c r="AC15" s="1" t="s">
        <v>282</v>
      </c>
      <c r="AD15" s="1"/>
      <c r="AE15" s="1" t="s">
        <v>52</v>
      </c>
      <c r="AF15" s="5">
        <v>46188</v>
      </c>
      <c r="AG15" s="1" t="s">
        <v>61</v>
      </c>
      <c r="AH15" s="1" t="s">
        <v>62</v>
      </c>
      <c r="AI15" s="1" t="s">
        <v>63</v>
      </c>
      <c r="AJ15" s="1" t="str">
        <f t="shared" si="0"/>
        <v>yrbss / yrbs cdc yrbss data (cdc) youth health behaviors, substance use, injury, sexual health, diet, activity open/public open/public maternal/child health mental health; substance use; food/nutrition; hiv/infectious disease; chronic disease; health care utilization/cost; sdoh/geospatial 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 survey mental health; substance use; tobacco and vaping; alcohol use; sexual health and hiv risk; nutrition and dietary behaviors; physical activity; obesity; violence and bullying; injury prevention and safety behaviors; school health; health disparities among youth high school students in grades 9–12 attending public and private schools united states other individual high age; sex; grade level; race/ethnicity; tobacco and vaping use; alcohol and drug use; depressive symptoms and suicidal behaviors; sexual behaviors; physical activity; dietary behaviors; height and weight (bmi); bullying and violence exposure; injury and safety behaviors 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 brfss; nhis; add health; acs school-based sample excludes most youth not attending school; self-reported behaviors may be under- or over-reported; primarily cross-sectional data; limited clinical and health outcome measures; some state/local surveys are not comparable across years open/public source; verify citation and download</v>
      </c>
    </row>
    <row r="16" spans="1:36" ht="341.25" customHeight="1">
      <c r="A16" s="1" t="s">
        <v>283</v>
      </c>
      <c r="B16" s="1" t="s">
        <v>284</v>
      </c>
      <c r="C16" s="1" t="s">
        <v>285</v>
      </c>
      <c r="D16" s="4" t="s">
        <v>286</v>
      </c>
      <c r="E16" s="1" t="s">
        <v>287</v>
      </c>
      <c r="F16" s="1" t="s">
        <v>224</v>
      </c>
      <c r="G16" s="1" t="s">
        <v>224</v>
      </c>
      <c r="H16" s="1" t="s">
        <v>137</v>
      </c>
      <c r="I16" s="1" t="s">
        <v>142</v>
      </c>
      <c r="J16" s="1" t="s">
        <v>288</v>
      </c>
      <c r="K16" s="1" t="s">
        <v>289</v>
      </c>
      <c r="L16" s="1" t="s">
        <v>290</v>
      </c>
      <c r="M16" s="1" t="s">
        <v>291</v>
      </c>
      <c r="N16" s="1" t="s">
        <v>292</v>
      </c>
      <c r="O16" s="1" t="s">
        <v>48</v>
      </c>
      <c r="P16" s="1" t="s">
        <v>293</v>
      </c>
      <c r="Q16" s="1" t="s">
        <v>294</v>
      </c>
      <c r="R16" s="1" t="s">
        <v>52</v>
      </c>
      <c r="S16" s="1" t="s">
        <v>51</v>
      </c>
      <c r="T16" s="1" t="s">
        <v>51</v>
      </c>
      <c r="U16" s="1" t="s">
        <v>295</v>
      </c>
      <c r="V16" s="1" t="s">
        <v>95</v>
      </c>
      <c r="W16" s="1" t="s">
        <v>62</v>
      </c>
      <c r="X16" s="1" t="s">
        <v>62</v>
      </c>
      <c r="Y16" s="1" t="s">
        <v>296</v>
      </c>
      <c r="Z16" s="1" t="s">
        <v>297</v>
      </c>
      <c r="AA16" s="1" t="s">
        <v>298</v>
      </c>
      <c r="AB16" s="1" t="s">
        <v>299</v>
      </c>
      <c r="AC16" s="1" t="s">
        <v>282</v>
      </c>
      <c r="AD16" s="1"/>
      <c r="AE16" s="1" t="s">
        <v>60</v>
      </c>
      <c r="AF16" s="5">
        <v>46188</v>
      </c>
      <c r="AG16" s="1" t="s">
        <v>61</v>
      </c>
      <c r="AH16" s="1" t="s">
        <v>62</v>
      </c>
      <c r="AI16" s="1" t="s">
        <v>63</v>
      </c>
      <c r="AJ16" s="1" t="str">
        <f t="shared" si="0"/>
        <v>cdc wonder cdc wonder (cdc wonder) mortality, natality, cancer, population, infectious disease, environmental health queries open/public open/public chronic disease maternal/child health; hiv/infectious disease; substance use; mental health; sdoh/geospatial; health care utilization/cost; environmental exposure; cancer; public health 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 reports/dashboard mortality and causes of death; chronic disease burden; injury and overdose deaths; maternal and infant health; infectious diseases; life expectancy; health disparities; geographic variation in health outcomes; public health surveillance; population health trends us community level database from numerous public health sources (aids, births, cancer, natality, etc) united states county report/dashboard medium cause of death; age; sex; race/ethnicity; year of death; geographic location (state; county); mortality counts; mortality rates (crude; age-adjusted); population estimates; births and fertility measures; life expectancy indicators 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 acs; cdc places, brfss potential misclassification in death certificate records; ecological analyses can lead to ecological fallacy; small-area estimates may be unstable for rare outcomes; changes in coding practices (e.g., icd revisions) can affect trend comparisons over time open/public source; verify citation and download</v>
      </c>
    </row>
    <row r="17" spans="1:36" ht="153" customHeight="1">
      <c r="A17" s="1" t="s">
        <v>300</v>
      </c>
      <c r="B17" s="1" t="s">
        <v>301</v>
      </c>
      <c r="C17" s="1" t="s">
        <v>302</v>
      </c>
      <c r="D17" s="1" t="s">
        <v>303</v>
      </c>
      <c r="E17" s="1" t="s">
        <v>304</v>
      </c>
      <c r="F17" s="1" t="s">
        <v>224</v>
      </c>
      <c r="G17" s="1" t="s">
        <v>224</v>
      </c>
      <c r="H17" s="1" t="s">
        <v>137</v>
      </c>
      <c r="I17" s="1" t="s">
        <v>49</v>
      </c>
      <c r="J17" s="1" t="s">
        <v>305</v>
      </c>
      <c r="K17" s="1" t="s">
        <v>306</v>
      </c>
      <c r="L17" s="1" t="s">
        <v>92</v>
      </c>
      <c r="M17" s="1" t="s">
        <v>307</v>
      </c>
      <c r="N17" s="1" t="s">
        <v>308</v>
      </c>
      <c r="O17" s="1" t="s">
        <v>48</v>
      </c>
      <c r="P17" s="1" t="s">
        <v>49</v>
      </c>
      <c r="Q17" s="1" t="s">
        <v>49</v>
      </c>
      <c r="R17" s="1" t="s">
        <v>129</v>
      </c>
      <c r="S17" s="1" t="s">
        <v>51</v>
      </c>
      <c r="T17" s="1" t="s">
        <v>129</v>
      </c>
      <c r="U17" s="1" t="s">
        <v>309</v>
      </c>
      <c r="V17" s="1" t="s">
        <v>310</v>
      </c>
      <c r="W17" s="1" t="s">
        <v>62</v>
      </c>
      <c r="X17" s="1" t="s">
        <v>62</v>
      </c>
      <c r="Y17" s="1" t="s">
        <v>311</v>
      </c>
      <c r="Z17" s="1" t="s">
        <v>312</v>
      </c>
      <c r="AA17" s="1" t="s">
        <v>313</v>
      </c>
      <c r="AB17" s="1" t="s">
        <v>314</v>
      </c>
      <c r="AC17" s="1" t="s">
        <v>315</v>
      </c>
      <c r="AD17" s="1"/>
      <c r="AE17" s="1" t="s">
        <v>60</v>
      </c>
      <c r="AF17" s="5">
        <v>46188</v>
      </c>
      <c r="AG17" s="1" t="s">
        <v>117</v>
      </c>
      <c r="AH17" s="1" t="s">
        <v>62</v>
      </c>
      <c r="AI17" s="1" t="s">
        <v>63</v>
      </c>
      <c r="AJ17" s="1" t="str">
        <f t="shared" si="0"/>
        <v>cdc open data portal cdc data (data.cdc.gov) broad cdc public health datasets and dashboards open/public open/public other public health surveillance; chronic disease; infectious disease; environmental health; mental health; injury; vaccinations; disability; tobacco use; policy surveillance; dashboards; open data cdc; public health; surveillance; open data; chronic disease; infectious disease; environmental health; vaccinations; tobacco; injury; disability; mental health; dashboards; datasets; visualization; api; state; county registry/surveillance public health surveillance; chronic disease; infectious disease; environmental health; vaccinations; disability; injury and violence; mental health; tobacco use; policy surveillance; global health varies by dataset; primarily u.s. public health populations, cases, events, jurisdictions, and health indicators united states other other medium 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 public health surveillance; open data discovery; state and national trend analyses; dashboard development; chronic disease and infectious disease monitoring; vaccination and tobacco surveillance; environmental health analyses; data visualization and api-based public health research cdc wonder; brfss; cdc places; nhanes; nhis; acs; cdc/atsdr svi; healthdata.gov portal contains heterogeneous datasets with different methods, years, geographies, update schedules, and suppression rules; variable definitions and data quality vary by dataset; some datasets are dashboards or aggregated summaries rather than analysis-ready microdata. open/public portal; no registration generally required for public datasets, though account features may support saved visualizations; verify dataset-specific documentation, citation guidance, update date, api terms, and suppression/privacy notes.</v>
      </c>
    </row>
    <row r="18" spans="1:36" ht="174.75" customHeight="1">
      <c r="A18" s="1" t="s">
        <v>316</v>
      </c>
      <c r="B18" s="1" t="s">
        <v>317</v>
      </c>
      <c r="C18" s="1" t="s">
        <v>318</v>
      </c>
      <c r="D18" s="1" t="s">
        <v>319</v>
      </c>
      <c r="E18" s="1" t="s">
        <v>320</v>
      </c>
      <c r="F18" s="1" t="s">
        <v>224</v>
      </c>
      <c r="G18" s="1" t="s">
        <v>224</v>
      </c>
      <c r="H18" s="1" t="s">
        <v>137</v>
      </c>
      <c r="I18" s="1" t="s">
        <v>142</v>
      </c>
      <c r="J18" s="1" t="s">
        <v>321</v>
      </c>
      <c r="K18" s="1" t="s">
        <v>322</v>
      </c>
      <c r="L18" s="1" t="s">
        <v>323</v>
      </c>
      <c r="M18" s="1" t="s">
        <v>324</v>
      </c>
      <c r="N18" s="1" t="s">
        <v>325</v>
      </c>
      <c r="O18" s="1" t="s">
        <v>48</v>
      </c>
      <c r="P18" s="1" t="s">
        <v>326</v>
      </c>
      <c r="Q18" s="1" t="s">
        <v>327</v>
      </c>
      <c r="R18" s="1" t="s">
        <v>52</v>
      </c>
      <c r="S18" s="1" t="s">
        <v>51</v>
      </c>
      <c r="T18" s="1" t="s">
        <v>52</v>
      </c>
      <c r="U18" s="1" t="s">
        <v>328</v>
      </c>
      <c r="V18" s="1" t="s">
        <v>230</v>
      </c>
      <c r="W18" s="1" t="s">
        <v>42</v>
      </c>
      <c r="X18" s="1" t="s">
        <v>42</v>
      </c>
      <c r="Y18" s="1" t="s">
        <v>329</v>
      </c>
      <c r="Z18" s="1" t="s">
        <v>330</v>
      </c>
      <c r="AA18" s="1" t="s">
        <v>331</v>
      </c>
      <c r="AB18" s="1" t="s">
        <v>332</v>
      </c>
      <c r="AC18" s="1" t="s">
        <v>333</v>
      </c>
      <c r="AD18" s="1"/>
      <c r="AE18" s="1" t="s">
        <v>51</v>
      </c>
      <c r="AF18" s="5">
        <v>46188</v>
      </c>
      <c r="AG18" s="1" t="s">
        <v>117</v>
      </c>
      <c r="AH18" s="1" t="s">
        <v>42</v>
      </c>
      <c r="AI18" s="1" t="s">
        <v>63</v>
      </c>
      <c r="AJ18" s="1" t="str">
        <f t="shared" si="0"/>
        <v>cdc places places data portal (cdc) county, city, census tract, and zip-level chronic disease and health behavior estimates open/public open/public chronic disease chronic disease; health behaviors; preventive care; disability; health status; health-related social needs; sdoh; small-area estimates; geospatial; brfss-derived; acs-derived diabetes; obesity; hypertension; cardiovascular; asthma; copd; cancer; depression; stroke; physical activity; smoking; preventive care; disability; health status; social determinants of health; sdoh; county; census tract; zip/zcta; small-area estimates; brfss; acs geospatial/area-level chronic disease; health behaviors; preventive care; disability; health status; health-related social needs; sdoh; population health; local public health u.s. adult populations aged 18+ represented through model-based local area estimates united states census tract census tract high 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 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 brfss; acs; cdc/atsdr svi; county health rankings; usda food environment atlas; usda rucc; cdc wonder; sc dph model-based estimates rather than direct survey measurements; uncertainty should be considered when comparing small areas; measures and methods may vary by release; not individual-level data; some estimates may be suppressed or unstable for small populations. open/public source; no registration required; verify release year, measure definitions, confidence intervals, geography level, citation guidance, and api/download documentation.</v>
      </c>
    </row>
    <row r="19" spans="1:36" ht="409.5" customHeight="1">
      <c r="A19" s="1" t="s">
        <v>334</v>
      </c>
      <c r="B19" s="1" t="s">
        <v>335</v>
      </c>
      <c r="C19" s="1" t="s">
        <v>336</v>
      </c>
      <c r="D19" s="4" t="s">
        <v>337</v>
      </c>
      <c r="E19" s="1" t="s">
        <v>338</v>
      </c>
      <c r="F19" s="1" t="s">
        <v>224</v>
      </c>
      <c r="G19" s="1" t="s">
        <v>224</v>
      </c>
      <c r="H19" s="1" t="s">
        <v>137</v>
      </c>
      <c r="I19" s="1" t="s">
        <v>339</v>
      </c>
      <c r="J19" s="1" t="s">
        <v>340</v>
      </c>
      <c r="K19" s="1" t="s">
        <v>341</v>
      </c>
      <c r="L19" s="1" t="s">
        <v>323</v>
      </c>
      <c r="M19" s="1" t="s">
        <v>342</v>
      </c>
      <c r="N19" s="1" t="s">
        <v>343</v>
      </c>
      <c r="O19" s="1" t="s">
        <v>48</v>
      </c>
      <c r="P19" s="1" t="s">
        <v>326</v>
      </c>
      <c r="Q19" s="1" t="s">
        <v>327</v>
      </c>
      <c r="R19" s="1" t="s">
        <v>52</v>
      </c>
      <c r="S19" s="1" t="s">
        <v>51</v>
      </c>
      <c r="T19" s="1" t="s">
        <v>51</v>
      </c>
      <c r="U19" s="1" t="s">
        <v>344</v>
      </c>
      <c r="V19" s="1" t="s">
        <v>230</v>
      </c>
      <c r="W19" s="1" t="s">
        <v>62</v>
      </c>
      <c r="X19" s="1" t="s">
        <v>42</v>
      </c>
      <c r="Y19" s="1" t="s">
        <v>345</v>
      </c>
      <c r="Z19" s="1" t="s">
        <v>346</v>
      </c>
      <c r="AA19" s="1" t="s">
        <v>347</v>
      </c>
      <c r="AB19" s="1" t="s">
        <v>348</v>
      </c>
      <c r="AC19" s="1" t="s">
        <v>349</v>
      </c>
      <c r="AD19" s="1"/>
      <c r="AE19" s="1" t="s">
        <v>51</v>
      </c>
      <c r="AF19" s="5">
        <v>46189</v>
      </c>
      <c r="AG19" s="1" t="s">
        <v>61</v>
      </c>
      <c r="AH19" s="1" t="s">
        <v>42</v>
      </c>
      <c r="AI19" s="1" t="s">
        <v>63</v>
      </c>
      <c r="AJ19" s="1" t="str">
        <f t="shared" si="0"/>
        <v>cdc/atsdr social vulnerability index — svi svi data download (atsdr) county and census tract social vulnerability measures open/public open/public sdoh/geospatial environmental exposure; chronic disease; maternal/child health; mental health; hiv/infectious disease; health care utilization/cost; rurality; south carolina/local data; svi; vulnerability; census tract; social determinants; poverty; income; education 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 geospatial/area-level social determinants of health; community vulnerability; health equity and disparities; socioeconomic disadvantage; environmental justice; disaster preparedness and recovery; access to transportation and housing; vulnerable populations; geographic health disparities; community resilience comprised of us communities at the census tract and county levels united states census tract census tract high 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 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 acs; cdc places; county health rankings &amp; roadmaps; nhis; nhanes; brfss; cdc wonder; cdc environmental public health tracking network; epa air quality system (aqs); all of us research program 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 publicly available data; derived from u.s. census/acs sources; no individual-level identifiers; no irb typically required for standalone use; may be linked with restricted datasets subject to additional data use agreements and privacy requirements</v>
      </c>
    </row>
    <row r="20" spans="1:36" ht="409.5" customHeight="1">
      <c r="A20" s="1" t="s">
        <v>350</v>
      </c>
      <c r="B20" s="1" t="s">
        <v>351</v>
      </c>
      <c r="C20" s="1" t="s">
        <v>352</v>
      </c>
      <c r="D20" s="4" t="s">
        <v>353</v>
      </c>
      <c r="E20" s="1" t="s">
        <v>354</v>
      </c>
      <c r="F20" s="1" t="s">
        <v>224</v>
      </c>
      <c r="G20" s="1" t="s">
        <v>224</v>
      </c>
      <c r="H20" s="1" t="s">
        <v>137</v>
      </c>
      <c r="I20" s="1" t="s">
        <v>339</v>
      </c>
      <c r="J20" s="1" t="s">
        <v>355</v>
      </c>
      <c r="K20" s="1" t="s">
        <v>356</v>
      </c>
      <c r="L20" s="1" t="s">
        <v>72</v>
      </c>
      <c r="M20" s="1" t="s">
        <v>357</v>
      </c>
      <c r="N20" s="1" t="s">
        <v>358</v>
      </c>
      <c r="O20" s="1" t="s">
        <v>48</v>
      </c>
      <c r="P20" s="1" t="s">
        <v>326</v>
      </c>
      <c r="Q20" s="1" t="s">
        <v>75</v>
      </c>
      <c r="R20" s="1" t="s">
        <v>51</v>
      </c>
      <c r="S20" s="1" t="s">
        <v>51</v>
      </c>
      <c r="T20" s="1" t="s">
        <v>51</v>
      </c>
      <c r="U20" s="1" t="s">
        <v>359</v>
      </c>
      <c r="V20" s="1" t="s">
        <v>360</v>
      </c>
      <c r="W20" s="1" t="s">
        <v>62</v>
      </c>
      <c r="X20" s="1" t="s">
        <v>42</v>
      </c>
      <c r="Y20" s="1" t="s">
        <v>361</v>
      </c>
      <c r="Z20" s="1" t="s">
        <v>362</v>
      </c>
      <c r="AA20" s="1" t="s">
        <v>363</v>
      </c>
      <c r="AB20" s="1" t="s">
        <v>364</v>
      </c>
      <c r="AC20" s="1" t="s">
        <v>365</v>
      </c>
      <c r="AD20" s="1"/>
      <c r="AE20" s="1" t="s">
        <v>51</v>
      </c>
      <c r="AF20" s="5">
        <v>46189</v>
      </c>
      <c r="AG20" s="1" t="s">
        <v>61</v>
      </c>
      <c r="AH20" s="1" t="s">
        <v>42</v>
      </c>
      <c r="AI20" s="1" t="s">
        <v>63</v>
      </c>
      <c r="AJ20" s="1" t="str">
        <f t="shared" si="0"/>
        <v>u.s. census american community survey — acs acs api (census.gov) demographic, socioeconomic, housing, insurance, education, employment variables open/public open/public sdoh/geospatial rurality; south carolina/local data; aging; maternal/child health, mental health, chronic disease  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 survey sdoh/geospatial; rurality; south carolina/local data; aging; maternal/child health; chronic disease; mental health; health care utilization/cost economic, social, demographic, housing data - areas/regions with populations of +65,000 for 1 year acs or less than 20,000 for 5 year acs united states census tract individual high 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 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 cdc places; county health rankings &amp; roadmaps; cdc/atsdr social vulnerability index (svi); ahrq sdoh database; hrsa area health resources files (ahrf) 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 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v>
      </c>
    </row>
    <row r="21" spans="1:36" ht="409.5" customHeight="1">
      <c r="A21" s="1" t="s">
        <v>366</v>
      </c>
      <c r="B21" s="1" t="s">
        <v>367</v>
      </c>
      <c r="C21" s="1" t="s">
        <v>368</v>
      </c>
      <c r="D21" s="4" t="s">
        <v>369</v>
      </c>
      <c r="E21" s="1" t="s">
        <v>370</v>
      </c>
      <c r="F21" s="1" t="s">
        <v>224</v>
      </c>
      <c r="G21" s="1" t="s">
        <v>224</v>
      </c>
      <c r="H21" s="1" t="s">
        <v>137</v>
      </c>
      <c r="I21" s="1" t="s">
        <v>339</v>
      </c>
      <c r="J21" s="1" t="s">
        <v>371</v>
      </c>
      <c r="K21" s="1" t="s">
        <v>372</v>
      </c>
      <c r="L21" s="1" t="s">
        <v>323</v>
      </c>
      <c r="M21" s="1" t="s">
        <v>373</v>
      </c>
      <c r="N21" s="1" t="s">
        <v>374</v>
      </c>
      <c r="O21" s="1" t="s">
        <v>375</v>
      </c>
      <c r="P21" s="1" t="s">
        <v>293</v>
      </c>
      <c r="Q21" s="1" t="s">
        <v>376</v>
      </c>
      <c r="R21" s="1" t="s">
        <v>52</v>
      </c>
      <c r="S21" s="1" t="s">
        <v>51</v>
      </c>
      <c r="T21" s="1" t="s">
        <v>51</v>
      </c>
      <c r="U21" s="1" t="s">
        <v>377</v>
      </c>
      <c r="V21" s="1" t="s">
        <v>230</v>
      </c>
      <c r="W21" s="1" t="s">
        <v>62</v>
      </c>
      <c r="X21" s="1" t="s">
        <v>42</v>
      </c>
      <c r="Y21" s="1" t="s">
        <v>378</v>
      </c>
      <c r="Z21" s="1" t="s">
        <v>379</v>
      </c>
      <c r="AA21" s="1" t="s">
        <v>380</v>
      </c>
      <c r="AB21" s="1" t="s">
        <v>381</v>
      </c>
      <c r="AC21" s="1" t="s">
        <v>382</v>
      </c>
      <c r="AD21" s="1"/>
      <c r="AE21" s="1" t="s">
        <v>51</v>
      </c>
      <c r="AF21" s="5">
        <v>46189</v>
      </c>
      <c r="AG21" s="1" t="s">
        <v>61</v>
      </c>
      <c r="AH21" s="1" t="s">
        <v>42</v>
      </c>
      <c r="AI21" s="1" t="s">
        <v>63</v>
      </c>
      <c r="AJ21" s="1" t="str">
        <f t="shared" si="0"/>
        <v>county health rankings &amp; roadmaps county health rankings data (county health rankings &amp; roadmaps) county-level health outcomes, health factors, social and economic indicators open/public open/public sdoh/geospatial health care utilization/cost; rurality; chronic disease; maternal/child health; mental health; substance use; south carolina/local data 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 geospatial/area-level sdoh/geospatial; chronic disease; mental health; substance use; maternal/child health; health care utilization/cost; rurality community level data, as well as disaggregated data to examine racialized trends or patterns, snapshots of county health before yearly measurements conclude county-level county country high 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 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 u.s. census american community survey (acs); cdc places; cdc/atsdr social vulnerability index (svi); ahrq sdoh database; hrsa area health resources files (ahrf) 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 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v>
      </c>
    </row>
    <row r="22" spans="1:36" ht="409.5" customHeight="1">
      <c r="A22" s="1" t="s">
        <v>383</v>
      </c>
      <c r="B22" s="1" t="s">
        <v>384</v>
      </c>
      <c r="C22" s="1" t="s">
        <v>385</v>
      </c>
      <c r="D22" s="4" t="s">
        <v>386</v>
      </c>
      <c r="E22" s="1" t="s">
        <v>387</v>
      </c>
      <c r="F22" s="1" t="s">
        <v>224</v>
      </c>
      <c r="G22" s="1" t="s">
        <v>224</v>
      </c>
      <c r="H22" s="1" t="s">
        <v>137</v>
      </c>
      <c r="I22" s="1" t="s">
        <v>339</v>
      </c>
      <c r="J22" s="1" t="s">
        <v>371</v>
      </c>
      <c r="K22" s="1" t="s">
        <v>388</v>
      </c>
      <c r="L22" s="1" t="s">
        <v>323</v>
      </c>
      <c r="M22" s="1" t="s">
        <v>389</v>
      </c>
      <c r="N22" s="1" t="s">
        <v>390</v>
      </c>
      <c r="O22" s="1" t="s">
        <v>48</v>
      </c>
      <c r="P22" s="1" t="s">
        <v>293</v>
      </c>
      <c r="Q22" s="1" t="s">
        <v>49</v>
      </c>
      <c r="R22" s="1" t="s">
        <v>52</v>
      </c>
      <c r="S22" s="1" t="s">
        <v>51</v>
      </c>
      <c r="T22" s="1" t="s">
        <v>51</v>
      </c>
      <c r="U22" s="1" t="s">
        <v>391</v>
      </c>
      <c r="V22" s="1" t="s">
        <v>230</v>
      </c>
      <c r="W22" s="1" t="s">
        <v>62</v>
      </c>
      <c r="X22" s="1" t="s">
        <v>42</v>
      </c>
      <c r="Y22" s="1" t="s">
        <v>392</v>
      </c>
      <c r="Z22" s="1" t="s">
        <v>393</v>
      </c>
      <c r="AA22" s="1" t="s">
        <v>394</v>
      </c>
      <c r="AB22" s="1" t="s">
        <v>395</v>
      </c>
      <c r="AC22" s="1" t="s">
        <v>396</v>
      </c>
      <c r="AD22" s="1"/>
      <c r="AE22" s="1" t="s">
        <v>51</v>
      </c>
      <c r="AF22" s="5">
        <v>46189</v>
      </c>
      <c r="AG22" s="1" t="s">
        <v>61</v>
      </c>
      <c r="AH22" s="1" t="s">
        <v>42</v>
      </c>
      <c r="AI22" s="1" t="s">
        <v>63</v>
      </c>
      <c r="AJ22" s="1" t="str">
        <f t="shared" si="0"/>
        <v>ahrq sdoh database ahrq sdoh data &amp; analytics (ahrq) linkable social determinants of health variables from federal and public sources open/public open/public sdoh/geospatial health care utilization/cost; rurality; chronic disease; maternal/child health; mental health; substance use; south carolina/local data 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 geospatial/area-level sdoh/geospatial; health care utilization/cost; rurality; chronic disease; mental health; maternal/child health; health equity a curated collection of us community-level social determinants of health indicators—including demographic, economic, educational, housing, environmental, and healthcare access measures - compiled from many data sources united states county other high 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 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 u.s. census american community survey (acs); county health rankings &amp; roadmaps; cdc places; cdc/atsdr social vulnerability index (svi) 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 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v>
      </c>
    </row>
    <row r="23" spans="1:36" ht="104.25" customHeight="1">
      <c r="A23" s="1" t="s">
        <v>397</v>
      </c>
      <c r="B23" s="1" t="s">
        <v>398</v>
      </c>
      <c r="C23" s="1" t="s">
        <v>399</v>
      </c>
      <c r="D23" s="4" t="s">
        <v>400</v>
      </c>
      <c r="E23" s="1" t="s">
        <v>401</v>
      </c>
      <c r="F23" s="1" t="s">
        <v>224</v>
      </c>
      <c r="G23" s="1" t="s">
        <v>224</v>
      </c>
      <c r="H23" s="1" t="s">
        <v>137</v>
      </c>
      <c r="I23" s="1" t="s">
        <v>402</v>
      </c>
      <c r="J23" s="1" t="s">
        <v>403</v>
      </c>
      <c r="K23" s="1" t="s">
        <v>404</v>
      </c>
      <c r="L23" s="1" t="s">
        <v>323</v>
      </c>
      <c r="M23" s="1" t="s">
        <v>405</v>
      </c>
      <c r="N23" s="1" t="s">
        <v>406</v>
      </c>
      <c r="O23" s="1" t="s">
        <v>48</v>
      </c>
      <c r="P23" s="1" t="s">
        <v>293</v>
      </c>
      <c r="Q23" s="1" t="s">
        <v>376</v>
      </c>
      <c r="R23" s="1" t="s">
        <v>52</v>
      </c>
      <c r="S23" s="1" t="s">
        <v>51</v>
      </c>
      <c r="T23" s="1" t="s">
        <v>51</v>
      </c>
      <c r="U23" s="1" t="s">
        <v>407</v>
      </c>
      <c r="V23" s="1" t="s">
        <v>54</v>
      </c>
      <c r="W23" s="1" t="s">
        <v>42</v>
      </c>
      <c r="X23" s="1" t="s">
        <v>42</v>
      </c>
      <c r="Y23" s="1" t="s">
        <v>408</v>
      </c>
      <c r="Z23" s="1" t="s">
        <v>409</v>
      </c>
      <c r="AA23" s="1" t="s">
        <v>410</v>
      </c>
      <c r="AB23" s="1" t="s">
        <v>411</v>
      </c>
      <c r="AC23" s="1" t="s">
        <v>412</v>
      </c>
      <c r="AD23" s="1"/>
      <c r="AE23" s="1" t="s">
        <v>51</v>
      </c>
      <c r="AF23" s="5">
        <v>46189</v>
      </c>
      <c r="AG23" s="1" t="s">
        <v>61</v>
      </c>
      <c r="AH23" s="1" t="s">
        <v>42</v>
      </c>
      <c r="AI23" s="1" t="s">
        <v>63</v>
      </c>
      <c r="AJ23" s="1" t="str">
        <f t="shared" si="0"/>
        <v>hrsa area health resources files — ahrf hrsa ahrf (ahrf) county, state, and national health workforce, facilities, population, economics open/public open/public health care utilization/cost sdoh/geospatial; rurality; chronic disease; maternal/child health; mental health; substance use; south carolina/local data 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 geospatial/area-level health care utilization/cost; sdoh/geospatial; rurality; health services research; healthcare workforce; healthcare access; health disparities aggregated data on health professions, facilities, population demgraphics, and hospital utilization/expenditure (6000 variables) at geographic levels united states county country high 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 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 u.s. census american community survey (acs); ahrq sdoh database; county health rankings &amp; roadmaps; cdc places; cms data 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 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v>
      </c>
    </row>
    <row r="24" spans="1:36" ht="261" customHeight="1">
      <c r="A24" s="1" t="s">
        <v>413</v>
      </c>
      <c r="B24" s="1" t="s">
        <v>414</v>
      </c>
      <c r="C24" s="1" t="s">
        <v>415</v>
      </c>
      <c r="D24" s="4" t="s">
        <v>416</v>
      </c>
      <c r="E24" s="1" t="s">
        <v>417</v>
      </c>
      <c r="F24" s="1" t="s">
        <v>224</v>
      </c>
      <c r="G24" s="1" t="s">
        <v>224</v>
      </c>
      <c r="H24" s="1" t="s">
        <v>62</v>
      </c>
      <c r="I24" s="1" t="s">
        <v>402</v>
      </c>
      <c r="J24" s="1" t="s">
        <v>418</v>
      </c>
      <c r="K24" s="1" t="s">
        <v>419</v>
      </c>
      <c r="L24" s="1" t="s">
        <v>72</v>
      </c>
      <c r="M24" s="1" t="s">
        <v>420</v>
      </c>
      <c r="N24" s="1" t="s">
        <v>421</v>
      </c>
      <c r="O24" s="1" t="s">
        <v>48</v>
      </c>
      <c r="P24" s="1" t="s">
        <v>49</v>
      </c>
      <c r="Q24" s="1" t="s">
        <v>75</v>
      </c>
      <c r="R24" s="1" t="s">
        <v>51</v>
      </c>
      <c r="S24" s="1" t="s">
        <v>129</v>
      </c>
      <c r="T24" s="1" t="s">
        <v>51</v>
      </c>
      <c r="U24" s="1" t="s">
        <v>422</v>
      </c>
      <c r="V24" s="1" t="s">
        <v>423</v>
      </c>
      <c r="W24" s="1" t="s">
        <v>62</v>
      </c>
      <c r="X24" s="1" t="s">
        <v>62</v>
      </c>
      <c r="Y24" s="1" t="s">
        <v>424</v>
      </c>
      <c r="Z24" s="1" t="s">
        <v>425</v>
      </c>
      <c r="AA24" s="1" t="s">
        <v>426</v>
      </c>
      <c r="AB24" s="1" t="s">
        <v>427</v>
      </c>
      <c r="AC24" s="1" t="s">
        <v>428</v>
      </c>
      <c r="AD24" s="1"/>
      <c r="AE24" s="1" t="s">
        <v>51</v>
      </c>
      <c r="AF24" s="5">
        <v>46189</v>
      </c>
      <c r="AG24" s="1" t="s">
        <v>117</v>
      </c>
      <c r="AH24" s="1" t="s">
        <v>42</v>
      </c>
      <c r="AI24" s="1" t="s">
        <v>63</v>
      </c>
      <c r="AJ24" s="1" t="str">
        <f t="shared" si="0"/>
        <v>meps ahrq meps public use files (medical expenditure panel survey) health care cost, utilization, insurance, access, expenditures open/public open/public health care utilization/cost survey; health care utilization; health expenditures; health insurance; access to care; out-of-pocket spending; medical providers; employers; health status; chronic conditions; prescription medicines; disparities utilization; cost; expenditure; insurance; access; provider; enrollment; payment; quality; out-of-pocket spending; medical care; health services; prescription medicines; health status; chronic conditions; disparities; meps; ahrq; survey survey health care utilization; health care costs; health insurance coverage; access to care; out-of-pocket spending; medical expenditures; prescription medicines; health status; chronic disease; health disparities u.s. civilian noninstitutionalized population united states other individual medium 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 health care utilization and cost analyses; insurance coverage studies; out-of-pocket spending research; access to care analyses; prescription drug expenditure studies; chronic disease cost burden research; health disparities research; policy evaluation; national trend analyses nhis; brfss; nhanes; cms data; hcup / hcupnet; acs; cdc places 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 open/public source; no registration required for public-use files; verify file type, survey component, documentation, codebook, weights, variance estimation guidance, and citation requirements before analysis.</v>
      </c>
    </row>
    <row r="25" spans="1:36" ht="409.5" customHeight="1">
      <c r="A25" s="1" t="s">
        <v>429</v>
      </c>
      <c r="B25" s="1" t="s">
        <v>430</v>
      </c>
      <c r="C25" s="1" t="s">
        <v>431</v>
      </c>
      <c r="D25" s="4" t="s">
        <v>432</v>
      </c>
      <c r="E25" s="1" t="s">
        <v>433</v>
      </c>
      <c r="F25" s="1" t="s">
        <v>434</v>
      </c>
      <c r="G25" s="1" t="s">
        <v>435</v>
      </c>
      <c r="H25" s="1" t="s">
        <v>62</v>
      </c>
      <c r="I25" s="1" t="s">
        <v>436</v>
      </c>
      <c r="J25" s="1" t="s">
        <v>437</v>
      </c>
      <c r="K25" s="1" t="s">
        <v>438</v>
      </c>
      <c r="L25" s="1" t="s">
        <v>439</v>
      </c>
      <c r="M25" s="1" t="s">
        <v>440</v>
      </c>
      <c r="N25" s="7" t="s">
        <v>441</v>
      </c>
      <c r="O25" s="1" t="s">
        <v>48</v>
      </c>
      <c r="P25" s="1" t="s">
        <v>259</v>
      </c>
      <c r="Q25" s="1" t="s">
        <v>50</v>
      </c>
      <c r="R25" s="1" t="s">
        <v>51</v>
      </c>
      <c r="S25" s="1" t="s">
        <v>51</v>
      </c>
      <c r="T25" s="1" t="s">
        <v>51</v>
      </c>
      <c r="U25" s="1" t="s">
        <v>442</v>
      </c>
      <c r="V25" s="1" t="s">
        <v>423</v>
      </c>
      <c r="W25" s="1" t="s">
        <v>62</v>
      </c>
      <c r="X25" s="1" t="s">
        <v>62</v>
      </c>
      <c r="Y25" s="1" t="s">
        <v>443</v>
      </c>
      <c r="Z25" s="1" t="s">
        <v>444</v>
      </c>
      <c r="AA25" s="1" t="s">
        <v>445</v>
      </c>
      <c r="AB25" s="1" t="s">
        <v>446</v>
      </c>
      <c r="AC25" s="1" t="s">
        <v>447</v>
      </c>
      <c r="AD25" s="1"/>
      <c r="AE25" s="1" t="s">
        <v>51</v>
      </c>
      <c r="AF25" s="5">
        <v>46189</v>
      </c>
      <c r="AG25" s="1" t="s">
        <v>117</v>
      </c>
      <c r="AH25" s="1" t="s">
        <v>62</v>
      </c>
      <c r="AI25" s="1" t="s">
        <v>448</v>
      </c>
      <c r="AJ25" s="1" t="str">
        <f t="shared" si="0"/>
        <v>hcup / hcupnet ahrq hcup (hcup-us) hospital inpatient, emergency department, ambulatory surgery, cost and utilization data public query tools; full datasets restricted/purchased public query plus restricted/purchased claims/payment/provider hospital care; inpatient care; emergency department; ambulatory surgery; health care utilization; health care costs; charges; quality; outcomes; all-payer; administrative data; patient encounters; state databases; national databases utilization; cost; hospital; inpatient; emergency department; ambulatory surgery; discharge; all-payer; charges; quality; outcomes; access; readmissions; patient encounters; administrative data; nis; kid; neds; nrd; sid; sedd; sasd; hcupnet claims/payment health care utilization; hospital care; inpatient stays; emergency department visits; ambulatory surgery; readmissions; health care costs and charges; health care quality; patient outcomes; access to care patients with hospital-based encounters in participating u.s. community hospitals and related care settings united states state patient medium 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 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 nis; kid; nass; neds; nrd; sid; sasd; sedd; hcupnet; hcup fast stats 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 public hcup tools are available for query; full hcup databases require application/purchase, completion of hcup data use training, and a data use agreement; state database availability and restrictions vary by partner organization.</v>
      </c>
    </row>
    <row r="26" spans="1:36" ht="126.75" customHeight="1">
      <c r="A26" s="1" t="s">
        <v>449</v>
      </c>
      <c r="B26" s="1" t="s">
        <v>450</v>
      </c>
      <c r="C26" s="1" t="s">
        <v>451</v>
      </c>
      <c r="D26" s="4" t="s">
        <v>452</v>
      </c>
      <c r="E26" s="1" t="s">
        <v>453</v>
      </c>
      <c r="F26" s="1" t="s">
        <v>454</v>
      </c>
      <c r="G26" s="1" t="s">
        <v>455</v>
      </c>
      <c r="H26" s="1" t="s">
        <v>137</v>
      </c>
      <c r="I26" s="1" t="s">
        <v>436</v>
      </c>
      <c r="J26" s="1" t="s">
        <v>456</v>
      </c>
      <c r="K26" s="1" t="s">
        <v>457</v>
      </c>
      <c r="L26" s="1" t="s">
        <v>439</v>
      </c>
      <c r="M26" s="1" t="s">
        <v>458</v>
      </c>
      <c r="N26" s="1" t="s">
        <v>459</v>
      </c>
      <c r="O26" s="1" t="s">
        <v>48</v>
      </c>
      <c r="P26" s="1" t="s">
        <v>49</v>
      </c>
      <c r="Q26" s="1" t="s">
        <v>49</v>
      </c>
      <c r="R26" s="1" t="s">
        <v>129</v>
      </c>
      <c r="S26" s="1" t="s">
        <v>51</v>
      </c>
      <c r="T26" s="1" t="s">
        <v>129</v>
      </c>
      <c r="U26" s="1" t="s">
        <v>309</v>
      </c>
      <c r="V26" s="1" t="s">
        <v>309</v>
      </c>
      <c r="W26" s="1" t="s">
        <v>62</v>
      </c>
      <c r="X26" s="1" t="s">
        <v>62</v>
      </c>
      <c r="Y26" s="1" t="s">
        <v>460</v>
      </c>
      <c r="Z26" s="1" t="s">
        <v>461</v>
      </c>
      <c r="AA26" s="1" t="s">
        <v>462</v>
      </c>
      <c r="AB26" s="1" t="s">
        <v>463</v>
      </c>
      <c r="AC26" s="1" t="s">
        <v>464</v>
      </c>
      <c r="AD26" s="1"/>
      <c r="AE26" s="1" t="s">
        <v>51</v>
      </c>
      <c r="AF26" s="5">
        <v>46189</v>
      </c>
      <c r="AG26" s="1" t="s">
        <v>117</v>
      </c>
      <c r="AH26" s="1" t="s">
        <v>62</v>
      </c>
      <c r="AI26" s="1" t="s">
        <v>63</v>
      </c>
      <c r="AJ26" s="1" t="str">
        <f t="shared" si="0"/>
        <v>cms data cms data (cms data) medicare, medicaid, provider, payment, quality, enrollment, public-use files open/public plus restricted files open plus controlled data claims/payment/provider health care utilization/cost; medicare; medicaid; claims; payment; provider; quality; enrollment; hospital; nursing homes; insurance; public reporting claims; medicare; medicaid; chip; provider; payment; enrollment; utilization; quality; beneficiaries; hospital; nursing home; plan; marketplace; insurance; reimbursement; public use files; dashboard; synthetic claims; cms claims/payment medicare; medicaid; chip; health insurance marketplace; claims and payment; provider utilization; enrollment; quality measures; health care utilization; health care costs; hospitals; nursing homes; insurance coverage medicare, medicaid, chip, and health insurance marketplace beneficiaries, enrollees, providers, plans, and health care organizations united states other other medium 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 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 resdac; cms medicare claims; meps; hcup / hcupnet; acs; brfss; cdc places; healthcare.gov pufs 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 open/public portal for public-use files, dashboards, and tools; restricted cms data may require request approval, dua, fees, and secure access through cms/resdac pathways; verify dataset-specific access tier, documentation, citation, and privacy/suppression rules.</v>
      </c>
    </row>
    <row r="27" spans="1:36" ht="409.5" customHeight="1">
      <c r="A27" s="1" t="s">
        <v>465</v>
      </c>
      <c r="B27" s="1" t="s">
        <v>466</v>
      </c>
      <c r="C27" s="1" t="s">
        <v>467</v>
      </c>
      <c r="D27" s="4" t="s">
        <v>468</v>
      </c>
      <c r="E27" s="1" t="s">
        <v>469</v>
      </c>
      <c r="F27" s="1" t="s">
        <v>41</v>
      </c>
      <c r="G27" s="1" t="s">
        <v>435</v>
      </c>
      <c r="H27" s="1" t="s">
        <v>137</v>
      </c>
      <c r="I27" s="1" t="s">
        <v>436</v>
      </c>
      <c r="J27" s="1" t="s">
        <v>470</v>
      </c>
      <c r="K27" s="1" t="s">
        <v>471</v>
      </c>
      <c r="L27" s="1" t="s">
        <v>439</v>
      </c>
      <c r="M27" s="1" t="s">
        <v>472</v>
      </c>
      <c r="N27" s="1" t="s">
        <v>473</v>
      </c>
      <c r="O27" s="1" t="s">
        <v>48</v>
      </c>
      <c r="P27" s="1" t="s">
        <v>474</v>
      </c>
      <c r="Q27" s="1" t="s">
        <v>50</v>
      </c>
      <c r="R27" s="1" t="s">
        <v>51</v>
      </c>
      <c r="S27" s="1" t="s">
        <v>51</v>
      </c>
      <c r="T27" s="1" t="s">
        <v>51</v>
      </c>
      <c r="U27" s="1" t="s">
        <v>475</v>
      </c>
      <c r="V27" s="1" t="s">
        <v>476</v>
      </c>
      <c r="W27" s="1" t="s">
        <v>42</v>
      </c>
      <c r="X27" s="1" t="s">
        <v>62</v>
      </c>
      <c r="Y27" s="1" t="s">
        <v>477</v>
      </c>
      <c r="Z27" s="1" t="s">
        <v>478</v>
      </c>
      <c r="AA27" s="1" t="s">
        <v>479</v>
      </c>
      <c r="AB27" s="1" t="s">
        <v>480</v>
      </c>
      <c r="AC27" s="1" t="s">
        <v>481</v>
      </c>
      <c r="AD27" s="1"/>
      <c r="AE27" s="1" t="s">
        <v>60</v>
      </c>
      <c r="AF27" s="5">
        <v>46189</v>
      </c>
      <c r="AG27" s="1" t="s">
        <v>117</v>
      </c>
      <c r="AH27" s="1" t="s">
        <v>62</v>
      </c>
      <c r="AI27" s="1" t="s">
        <v>63</v>
      </c>
      <c r="AJ27" s="1" t="str">
        <f t="shared" si="0"/>
        <v>resdac / cms research data resdac (resdac) medicare and medicaid research identifiable files and restricted data controlled/restricted public query plus restricted/purchased claims/payment/provider medicare; medicaid; chip; claims; enrollment; beneficiaries; utilization; payment; provider; prescription drugs; long-term care; research identifiable files; limited data sets; vrdc; health services research claims; medicare; medicaid; chip; beneficiaries; enrollment; utilization; payment; provider; prescription drugs; part d; fee-for-service; encounter data; rif; lds; dua; vrdc; ccw; t-msis; resdac; cms research data claims/payment 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 medicare, medicaid, and chip beneficiaries represented in cms research files united states census block group patient medium 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 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 cms medicare claims; medicaid t-msis analytic files; medicare current beneficiary survey; chronic conditions warehouse; data.cms.gov; meps; hcup / hcupnet; acs; cdc places; brfss restricted access requiring approved research purpose, application, dua, fees, and secure access processes; data are complex and require claims expertise; file availability, variables, and years vary by cms program; public-use files are aggregated restricted cms research files require a research study application, cms dua, and fees; vrdc access may involve annual seat, project, and storage/usage costs</v>
      </c>
    </row>
    <row r="28" spans="1:36" ht="209.25" customHeight="1">
      <c r="A28" s="1" t="s">
        <v>482</v>
      </c>
      <c r="B28" s="1" t="s">
        <v>483</v>
      </c>
      <c r="C28" s="1" t="s">
        <v>484</v>
      </c>
      <c r="D28" s="1" t="s">
        <v>485</v>
      </c>
      <c r="E28" s="1" t="s">
        <v>486</v>
      </c>
      <c r="F28" s="1" t="s">
        <v>224</v>
      </c>
      <c r="G28" s="1" t="s">
        <v>224</v>
      </c>
      <c r="H28" s="1" t="s">
        <v>137</v>
      </c>
      <c r="I28" s="1" t="s">
        <v>402</v>
      </c>
      <c r="J28" s="1" t="s">
        <v>487</v>
      </c>
      <c r="K28" s="1" t="s">
        <v>488</v>
      </c>
      <c r="L28" s="1" t="s">
        <v>49</v>
      </c>
      <c r="M28" s="1" t="s">
        <v>489</v>
      </c>
      <c r="N28" s="1" t="s">
        <v>490</v>
      </c>
      <c r="O28" s="1" t="s">
        <v>48</v>
      </c>
      <c r="P28" s="1" t="s">
        <v>491</v>
      </c>
      <c r="Q28" s="1" t="s">
        <v>49</v>
      </c>
      <c r="R28" s="1" t="s">
        <v>52</v>
      </c>
      <c r="S28" s="1" t="s">
        <v>51</v>
      </c>
      <c r="T28" s="1" t="s">
        <v>52</v>
      </c>
      <c r="U28" s="1" t="s">
        <v>492</v>
      </c>
      <c r="V28" s="1" t="s">
        <v>476</v>
      </c>
      <c r="W28" s="1" t="s">
        <v>62</v>
      </c>
      <c r="X28" s="1" t="s">
        <v>42</v>
      </c>
      <c r="Y28" s="1" t="s">
        <v>493</v>
      </c>
      <c r="Z28" s="1" t="s">
        <v>494</v>
      </c>
      <c r="AA28" s="1" t="s">
        <v>495</v>
      </c>
      <c r="AB28" s="1" t="s">
        <v>496</v>
      </c>
      <c r="AC28" s="1" t="s">
        <v>497</v>
      </c>
      <c r="AD28" s="1"/>
      <c r="AE28" s="1" t="s">
        <v>51</v>
      </c>
      <c r="AF28" s="5">
        <v>46189</v>
      </c>
      <c r="AG28" s="1" t="s">
        <v>117</v>
      </c>
      <c r="AH28" s="1" t="s">
        <v>62</v>
      </c>
      <c r="AI28" s="1" t="s">
        <v>63</v>
      </c>
      <c r="AJ28" s="1" t="str">
        <f t="shared" si="0"/>
        <v>healthcare.gov public use files healthcare.gov pufs (data.healthcare.gov) marketplace plan, benefits, provider, rate, and enrollment-related public-use files open/public open/public health care utilization/cost health insurance marketplace; exchange pufs; insurance plans; issuers; providers; premiums; rates; benefits; cost sharing; formularies; provider networks; service areas; enrollment assistance marketplace; exchange; health insurance; plans; issuers; premiums; rates; benefits; cost sharing; formulary; provider network; service area; county; zip; metal level; qhp; dental plans; shop; healthcare.gov other health insurance marketplace; insurance coverage; plan availability; premiums and rates; benefits and cost sharing; provider networks; formularies; service areas; enrollment assistance health insurance marketplace plans, issuers, providers, service areas, and certified enrollment assistance organizations united states zip code / county other high 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 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 cms data; exchange pufs; marketplace pufs; acs; meps; brfss; cdc places; county health rankings plan, issuer, rate, benefit, and service area files vary by plan year and dataset; data describe marketplace plans and issuers, not individual enrollees or claims; geographic fields vary by file; verify plan year, file type, data dictionary, and update date before analysis. open/public source; no registration generally required; verify dataset-specific documentation, api/download options, citation guidance, and marketplace puf data dictionaries.</v>
      </c>
    </row>
    <row r="29" spans="1:36" ht="409.5" customHeight="1">
      <c r="A29" s="1" t="s">
        <v>498</v>
      </c>
      <c r="B29" s="1" t="s">
        <v>499</v>
      </c>
      <c r="C29" s="1" t="s">
        <v>500</v>
      </c>
      <c r="D29" s="4" t="s">
        <v>501</v>
      </c>
      <c r="E29" s="1" t="s">
        <v>502</v>
      </c>
      <c r="F29" s="1" t="s">
        <v>224</v>
      </c>
      <c r="G29" s="1" t="s">
        <v>224</v>
      </c>
      <c r="H29" s="1" t="s">
        <v>137</v>
      </c>
      <c r="I29" s="1" t="s">
        <v>49</v>
      </c>
      <c r="J29" s="1" t="s">
        <v>503</v>
      </c>
      <c r="K29" s="1" t="s">
        <v>504</v>
      </c>
      <c r="L29" s="1" t="s">
        <v>290</v>
      </c>
      <c r="M29" s="1" t="s">
        <v>505</v>
      </c>
      <c r="N29" s="1" t="s">
        <v>506</v>
      </c>
      <c r="O29" s="1" t="s">
        <v>48</v>
      </c>
      <c r="P29" s="1" t="s">
        <v>49</v>
      </c>
      <c r="Q29" s="1" t="s">
        <v>49</v>
      </c>
      <c r="R29" s="1" t="s">
        <v>129</v>
      </c>
      <c r="S29" s="1" t="s">
        <v>51</v>
      </c>
      <c r="T29" s="1" t="s">
        <v>129</v>
      </c>
      <c r="U29" s="1" t="s">
        <v>507</v>
      </c>
      <c r="V29" s="1" t="s">
        <v>95</v>
      </c>
      <c r="W29" s="1" t="s">
        <v>62</v>
      </c>
      <c r="X29" s="1" t="s">
        <v>62</v>
      </c>
      <c r="Y29" s="1" t="s">
        <v>508</v>
      </c>
      <c r="Z29" s="1" t="s">
        <v>509</v>
      </c>
      <c r="AA29" s="1" t="s">
        <v>510</v>
      </c>
      <c r="AB29" s="1" t="s">
        <v>511</v>
      </c>
      <c r="AC29" s="1" t="s">
        <v>512</v>
      </c>
      <c r="AD29" s="1"/>
      <c r="AE29" s="1" t="s">
        <v>60</v>
      </c>
      <c r="AF29" s="5">
        <v>46190</v>
      </c>
      <c r="AG29" s="1" t="s">
        <v>61</v>
      </c>
      <c r="AH29" s="1" t="s">
        <v>62</v>
      </c>
      <c r="AI29" s="1" t="s">
        <v>63</v>
      </c>
      <c r="AJ29" s="1" t="str">
        <f t="shared" si="0"/>
        <v>healthdata.gov hhs healthdata.gov (healthdata.gov) broad hhs open data catalog across agencies open/public open/public other sdoh/geospatial; health care utilization/cost; chronic disease; mental health; substance use; maternal/child health; hiv/infectious disease; environmental exposure 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 reports/dashboard sdoh/geospatial; chronic disease; maternal/child health; mental health; substance use; hiv/infectious disease; health care utilization/cost; environmental exposure u.s. public health and health data users united states other other medium 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 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 u.s. census american community survey (acs); cdc places; county health rankings &amp; roadmaps; ahrq sdoh database; hrsa area health resources files (ahrf); cdc/atsdr social vulnerability index (svi); cms data 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 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v>
      </c>
    </row>
    <row r="30" spans="1:36" ht="409.5" customHeight="1">
      <c r="A30" s="1" t="s">
        <v>513</v>
      </c>
      <c r="B30" s="1" t="s">
        <v>514</v>
      </c>
      <c r="C30" s="1" t="s">
        <v>515</v>
      </c>
      <c r="D30" s="4" t="s">
        <v>516</v>
      </c>
      <c r="E30" s="1" t="s">
        <v>517</v>
      </c>
      <c r="F30" s="1" t="s">
        <v>160</v>
      </c>
      <c r="G30" s="1" t="s">
        <v>160</v>
      </c>
      <c r="H30" s="1" t="s">
        <v>62</v>
      </c>
      <c r="I30" s="1" t="s">
        <v>518</v>
      </c>
      <c r="J30" s="1" t="s">
        <v>519</v>
      </c>
      <c r="K30" s="1" t="s">
        <v>520</v>
      </c>
      <c r="L30" s="1" t="s">
        <v>72</v>
      </c>
      <c r="M30" s="1" t="s">
        <v>521</v>
      </c>
      <c r="N30" s="1" t="s">
        <v>522</v>
      </c>
      <c r="O30" s="1" t="s">
        <v>48</v>
      </c>
      <c r="P30" s="1" t="s">
        <v>523</v>
      </c>
      <c r="Q30" s="1" t="s">
        <v>75</v>
      </c>
      <c r="R30" s="1" t="s">
        <v>51</v>
      </c>
      <c r="S30" s="1" t="s">
        <v>52</v>
      </c>
      <c r="T30" s="1" t="s">
        <v>51</v>
      </c>
      <c r="U30" s="1" t="s">
        <v>524</v>
      </c>
      <c r="V30" s="1" t="s">
        <v>230</v>
      </c>
      <c r="W30" s="1" t="s">
        <v>62</v>
      </c>
      <c r="X30" s="1" t="s">
        <v>62</v>
      </c>
      <c r="Y30" s="1" t="s">
        <v>525</v>
      </c>
      <c r="Z30" s="1" t="s">
        <v>526</v>
      </c>
      <c r="AA30" s="1" t="s">
        <v>527</v>
      </c>
      <c r="AB30" s="1" t="s">
        <v>528</v>
      </c>
      <c r="AC30" s="1" t="s">
        <v>529</v>
      </c>
      <c r="AD30" s="1"/>
      <c r="AE30" s="1" t="s">
        <v>52</v>
      </c>
      <c r="AF30" s="5">
        <v>46190</v>
      </c>
      <c r="AG30" s="1" t="s">
        <v>61</v>
      </c>
      <c r="AH30" s="1" t="s">
        <v>62</v>
      </c>
      <c r="AI30" s="1" t="s">
        <v>63</v>
      </c>
      <c r="AJ30" s="1" t="str">
        <f t="shared" si="0"/>
        <v>samhsa nsduh nsduh data tools (samhsa) substance use, mental health, treatment, tobacco, alcohol, drug use public-use plus restricted files public-use plus restricted files substance use alcohol; opioid; tobacco; treatment; mental health; sdoh/geospatial; chronic disease; health care utilization/cost; maternal/child health 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 survey substance use; mental health; health care utilization/cost; maternal/child health; sdoh/geospatial; health disparities; behavioral health civilian, noninstitutionalized population of the united states aged 12 years and older. united states national; state individual medium 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 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 nhis; brfss; cdc places; samhsa teds; samhsa mh-cld; u.s. census american community survey (acs); county health rankings &amp; roadmaps 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 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v>
      </c>
    </row>
    <row r="31" spans="1:36" ht="409.5" customHeight="1">
      <c r="A31" s="1" t="s">
        <v>530</v>
      </c>
      <c r="B31" s="1" t="s">
        <v>531</v>
      </c>
      <c r="C31" s="1" t="s">
        <v>532</v>
      </c>
      <c r="D31" s="4" t="s">
        <v>533</v>
      </c>
      <c r="E31" s="1" t="s">
        <v>534</v>
      </c>
      <c r="F31" s="1" t="s">
        <v>224</v>
      </c>
      <c r="G31" s="1" t="s">
        <v>224</v>
      </c>
      <c r="H31" s="1" t="s">
        <v>137</v>
      </c>
      <c r="I31" s="1" t="s">
        <v>518</v>
      </c>
      <c r="J31" s="1" t="s">
        <v>535</v>
      </c>
      <c r="K31" s="1" t="s">
        <v>536</v>
      </c>
      <c r="L31" s="1" t="s">
        <v>92</v>
      </c>
      <c r="M31" s="1" t="s">
        <v>537</v>
      </c>
      <c r="N31" s="1" t="s">
        <v>538</v>
      </c>
      <c r="O31" s="1" t="s">
        <v>48</v>
      </c>
      <c r="P31" s="1" t="s">
        <v>259</v>
      </c>
      <c r="Q31" s="1" t="s">
        <v>75</v>
      </c>
      <c r="R31" s="1" t="s">
        <v>51</v>
      </c>
      <c r="S31" s="1" t="s">
        <v>51</v>
      </c>
      <c r="T31" s="1" t="s">
        <v>52</v>
      </c>
      <c r="U31" s="1" t="s">
        <v>166</v>
      </c>
      <c r="V31" s="1" t="s">
        <v>95</v>
      </c>
      <c r="W31" s="1" t="s">
        <v>62</v>
      </c>
      <c r="X31" s="1" t="s">
        <v>62</v>
      </c>
      <c r="Y31" s="1" t="s">
        <v>539</v>
      </c>
      <c r="Z31" s="1" t="s">
        <v>540</v>
      </c>
      <c r="AA31" s="1" t="s">
        <v>541</v>
      </c>
      <c r="AB31" s="1" t="s">
        <v>542</v>
      </c>
      <c r="AC31" s="1" t="s">
        <v>543</v>
      </c>
      <c r="AD31" s="1"/>
      <c r="AE31" s="1" t="s">
        <v>52</v>
      </c>
      <c r="AF31" s="5">
        <v>46190</v>
      </c>
      <c r="AG31" s="1" t="s">
        <v>61</v>
      </c>
      <c r="AH31" s="1" t="s">
        <v>62</v>
      </c>
      <c r="AI31" s="1" t="s">
        <v>63</v>
      </c>
      <c r="AJ31" s="1" t="str">
        <f t="shared" si="0"/>
        <v>samhsa teds teds data files (samhsa) substance use treatment admissions and discharges open/public open/public substance use mental health; health care utilization/cost; sdoh/geospatial; maternal/child health 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 registry/surveillance substance use; mental health; health care utilization/cost; behavioral health; health disparities; treatment services; recovery and treatment outcomes individuals aged 12 and older admitted to substance use treatment facilities united states state individual medium demographic, clinical and substance use characteristics of persons admitted to treatment and type service at discharge, length of stay, and reason for discharge or discontinuation of services 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 samhsa nsduh; samhsa mh-cld; u.s. census american community survey (acs); county health rankings &amp; roadmaps; cdc places 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 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v>
      </c>
    </row>
    <row r="32" spans="1:36" ht="409.5" customHeight="1">
      <c r="A32" s="1" t="s">
        <v>544</v>
      </c>
      <c r="B32" s="1" t="s">
        <v>545</v>
      </c>
      <c r="C32" s="1" t="s">
        <v>546</v>
      </c>
      <c r="D32" s="4" t="s">
        <v>547</v>
      </c>
      <c r="E32" s="1" t="s">
        <v>548</v>
      </c>
      <c r="F32" s="1" t="s">
        <v>224</v>
      </c>
      <c r="G32" s="1" t="s">
        <v>224</v>
      </c>
      <c r="H32" s="1" t="s">
        <v>137</v>
      </c>
      <c r="I32" s="1" t="s">
        <v>549</v>
      </c>
      <c r="J32" s="1" t="s">
        <v>550</v>
      </c>
      <c r="K32" s="1" t="s">
        <v>551</v>
      </c>
      <c r="L32" s="1" t="s">
        <v>92</v>
      </c>
      <c r="M32" s="1" t="s">
        <v>552</v>
      </c>
      <c r="N32" s="1" t="s">
        <v>553</v>
      </c>
      <c r="O32" s="1" t="s">
        <v>48</v>
      </c>
      <c r="P32" s="1" t="s">
        <v>523</v>
      </c>
      <c r="Q32" s="1" t="s">
        <v>50</v>
      </c>
      <c r="R32" s="1" t="s">
        <v>51</v>
      </c>
      <c r="S32" s="1" t="s">
        <v>51</v>
      </c>
      <c r="T32" s="1" t="s">
        <v>52</v>
      </c>
      <c r="U32" s="1" t="s">
        <v>554</v>
      </c>
      <c r="V32" s="1" t="s">
        <v>95</v>
      </c>
      <c r="W32" s="1" t="s">
        <v>62</v>
      </c>
      <c r="X32" s="1" t="s">
        <v>62</v>
      </c>
      <c r="Y32" s="1" t="s">
        <v>555</v>
      </c>
      <c r="Z32" s="1" t="s">
        <v>556</v>
      </c>
      <c r="AA32" s="1" t="s">
        <v>557</v>
      </c>
      <c r="AB32" s="1" t="s">
        <v>558</v>
      </c>
      <c r="AC32" s="1" t="s">
        <v>559</v>
      </c>
      <c r="AD32" s="1"/>
      <c r="AE32" s="1" t="s">
        <v>52</v>
      </c>
      <c r="AF32" s="5">
        <v>46190</v>
      </c>
      <c r="AG32" s="1" t="s">
        <v>61</v>
      </c>
      <c r="AH32" s="1" t="s">
        <v>62</v>
      </c>
      <c r="AI32" s="1" t="s">
        <v>63</v>
      </c>
      <c r="AJ32" s="1" t="str">
        <f t="shared" si="0"/>
        <v>samhsa mh-cld mh-cld data files (samhsa) mental health treatment client-level public-use data open/public open/public mental health health care utilization/cost; substance use; sdoh/geospatial; maternal/child health 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 registry/surveillance mental health; health care utilization/cost; behavioral health; substance use; health disparities; mental health services; treatment outcomes and recovery all child and adult clients who received mental health or support services from programs operated or funded by state mental health agencies (smhas) united states national; state patient medium 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 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 samhsa nsduh; samhsa teds; u.s. census american community survey (acs); county health rankings &amp; roadmaps; cdc places 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 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v>
      </c>
    </row>
    <row r="33" spans="1:36" ht="409.5" customHeight="1">
      <c r="A33" s="1" t="s">
        <v>560</v>
      </c>
      <c r="B33" s="1" t="s">
        <v>561</v>
      </c>
      <c r="C33" s="1" t="s">
        <v>562</v>
      </c>
      <c r="D33" s="4" t="s">
        <v>563</v>
      </c>
      <c r="E33" s="1" t="s">
        <v>564</v>
      </c>
      <c r="F33" s="1" t="s">
        <v>224</v>
      </c>
      <c r="G33" s="1" t="s">
        <v>224</v>
      </c>
      <c r="H33" s="1" t="s">
        <v>137</v>
      </c>
      <c r="I33" s="1" t="s">
        <v>549</v>
      </c>
      <c r="J33" s="1" t="s">
        <v>565</v>
      </c>
      <c r="K33" s="1" t="s">
        <v>566</v>
      </c>
      <c r="L33" s="1" t="s">
        <v>290</v>
      </c>
      <c r="M33" s="1" t="s">
        <v>567</v>
      </c>
      <c r="N33" s="1" t="s">
        <v>568</v>
      </c>
      <c r="O33" s="1" t="s">
        <v>48</v>
      </c>
      <c r="P33" s="1" t="s">
        <v>49</v>
      </c>
      <c r="Q33" s="1" t="s">
        <v>294</v>
      </c>
      <c r="R33" s="1" t="s">
        <v>52</v>
      </c>
      <c r="S33" s="1" t="s">
        <v>51</v>
      </c>
      <c r="T33" s="1" t="s">
        <v>51</v>
      </c>
      <c r="U33" s="1" t="s">
        <v>569</v>
      </c>
      <c r="V33" s="1" t="s">
        <v>95</v>
      </c>
      <c r="W33" s="1" t="s">
        <v>62</v>
      </c>
      <c r="X33" s="1" t="s">
        <v>62</v>
      </c>
      <c r="Y33" s="1" t="s">
        <v>570</v>
      </c>
      <c r="Z33" s="1" t="s">
        <v>571</v>
      </c>
      <c r="AA33" s="1" t="s">
        <v>572</v>
      </c>
      <c r="AB33" s="1" t="s">
        <v>573</v>
      </c>
      <c r="AC33" s="1" t="s">
        <v>574</v>
      </c>
      <c r="AD33" s="1"/>
      <c r="AE33" s="1" t="s">
        <v>52</v>
      </c>
      <c r="AF33" s="5">
        <v>46190</v>
      </c>
      <c r="AG33" s="1" t="s">
        <v>61</v>
      </c>
      <c r="AH33" s="1" t="s">
        <v>62</v>
      </c>
      <c r="AI33" s="1" t="s">
        <v>63</v>
      </c>
      <c r="AJ33" s="1" t="str">
        <f t="shared" si="0"/>
        <v>samhsa data tools samhsa data tools (datatools.samhsa.gov) online analysis for nsduh, teds, mental health and substance use datasets open/public open/public mental health substance use; health care utilization/cost; sdoh/geospatial; maternal/child health 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 reports/dashboard mental health; substance use; behavioral health; health care utilization/cost; health disparities; prevention and recovery services; community mental health u.s. population; individuals receiving mental health or substance use services; adolescents and adults; behavioral health populations united states other report/dashboard medium 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 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 samhsa nsduh; samhsa teds; samhsa mh-cld; u.s. census american community survey (acs); county health rankings &amp; roadmaps 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 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v>
      </c>
    </row>
    <row r="34" spans="1:36" ht="409.5" customHeight="1">
      <c r="A34" s="1" t="s">
        <v>575</v>
      </c>
      <c r="B34" s="1" t="s">
        <v>576</v>
      </c>
      <c r="C34" s="1" t="s">
        <v>577</v>
      </c>
      <c r="D34" s="4" t="s">
        <v>578</v>
      </c>
      <c r="E34" s="1" t="s">
        <v>579</v>
      </c>
      <c r="F34" s="1" t="s">
        <v>224</v>
      </c>
      <c r="G34" s="1" t="s">
        <v>224</v>
      </c>
      <c r="H34" s="1" t="s">
        <v>137</v>
      </c>
      <c r="I34" s="1" t="s">
        <v>580</v>
      </c>
      <c r="J34" s="1" t="s">
        <v>581</v>
      </c>
      <c r="K34" s="1" t="s">
        <v>582</v>
      </c>
      <c r="L34" s="1" t="s">
        <v>290</v>
      </c>
      <c r="M34" s="1" t="s">
        <v>583</v>
      </c>
      <c r="N34" s="1" t="s">
        <v>584</v>
      </c>
      <c r="O34" s="1" t="s">
        <v>48</v>
      </c>
      <c r="P34" s="1" t="s">
        <v>293</v>
      </c>
      <c r="Q34" s="1" t="s">
        <v>293</v>
      </c>
      <c r="R34" s="1" t="s">
        <v>52</v>
      </c>
      <c r="S34" s="1" t="s">
        <v>51</v>
      </c>
      <c r="T34" s="1" t="s">
        <v>51</v>
      </c>
      <c r="U34" s="1" t="s">
        <v>585</v>
      </c>
      <c r="V34" s="1" t="s">
        <v>95</v>
      </c>
      <c r="W34" s="1" t="s">
        <v>62</v>
      </c>
      <c r="X34" s="1" t="s">
        <v>42</v>
      </c>
      <c r="Y34" s="1" t="s">
        <v>586</v>
      </c>
      <c r="Z34" s="1" t="s">
        <v>587</v>
      </c>
      <c r="AA34" s="1" t="s">
        <v>588</v>
      </c>
      <c r="AB34" s="1" t="s">
        <v>589</v>
      </c>
      <c r="AC34" s="1" t="s">
        <v>590</v>
      </c>
      <c r="AD34" s="1"/>
      <c r="AE34" s="1" t="s">
        <v>60</v>
      </c>
      <c r="AF34" s="5">
        <v>46190</v>
      </c>
      <c r="AG34" s="1" t="s">
        <v>61</v>
      </c>
      <c r="AH34" s="1" t="s">
        <v>62</v>
      </c>
      <c r="AI34" s="1" t="s">
        <v>63</v>
      </c>
      <c r="AJ34" s="1" t="str">
        <f t="shared" ref="AJ34:AJ65" si="1">LOWER(_xlfn.SINGLE(_xlfn.TEXTJOIN(" ", TRUE, B34, C34, E34, F34, G34, I34, J34, K34, L34, M34, N34, O34, P34, Q34, X34, Y34, Z34, AA34, AB34, AC34, AD34)))</f>
        <v>cdc atlasplus nchhstp atlasplus (cdc) hiv, viral hepatitis, std, tb, and selected social determinants data open/public open/public hiv/infectious disease substance use; sdoh/geospatial; mental health; maternal/child health 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 reports/dashboard hiv/infectious disease; substance use; sdoh/geospatial; mental health; maternal/child health u.s. populations affected by hiv, stis, viral hepatitis, tb, and related sdoh indicators united states county county high 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 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 aidsvu; u.s. census american community survey (acs); cdc/atsdr social vulnerability index (svi); cdc places 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 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v>
      </c>
    </row>
    <row r="35" spans="1:36" ht="409.5" customHeight="1">
      <c r="A35" s="1" t="s">
        <v>591</v>
      </c>
      <c r="B35" s="1" t="s">
        <v>592</v>
      </c>
      <c r="C35" s="1" t="s">
        <v>593</v>
      </c>
      <c r="D35" s="4" t="s">
        <v>594</v>
      </c>
      <c r="E35" s="1" t="s">
        <v>595</v>
      </c>
      <c r="F35" s="1" t="s">
        <v>224</v>
      </c>
      <c r="G35" s="1" t="s">
        <v>224</v>
      </c>
      <c r="H35" s="1" t="s">
        <v>137</v>
      </c>
      <c r="I35" s="1" t="s">
        <v>580</v>
      </c>
      <c r="J35" s="1" t="s">
        <v>596</v>
      </c>
      <c r="K35" s="1" t="s">
        <v>597</v>
      </c>
      <c r="L35" s="1" t="s">
        <v>290</v>
      </c>
      <c r="M35" s="1" t="s">
        <v>598</v>
      </c>
      <c r="N35" s="1" t="s">
        <v>599</v>
      </c>
      <c r="O35" s="1" t="s">
        <v>48</v>
      </c>
      <c r="P35" s="1" t="s">
        <v>293</v>
      </c>
      <c r="Q35" s="1" t="s">
        <v>600</v>
      </c>
      <c r="R35" s="1" t="s">
        <v>52</v>
      </c>
      <c r="S35" s="1" t="s">
        <v>51</v>
      </c>
      <c r="T35" s="1" t="s">
        <v>51</v>
      </c>
      <c r="U35" s="1" t="s">
        <v>601</v>
      </c>
      <c r="V35" s="1" t="s">
        <v>95</v>
      </c>
      <c r="W35" s="1" t="s">
        <v>62</v>
      </c>
      <c r="X35" s="1" t="s">
        <v>42</v>
      </c>
      <c r="Y35" s="1" t="s">
        <v>602</v>
      </c>
      <c r="Z35" s="1" t="s">
        <v>603</v>
      </c>
      <c r="AA35" s="1" t="s">
        <v>604</v>
      </c>
      <c r="AB35" s="1" t="s">
        <v>605</v>
      </c>
      <c r="AC35" s="1" t="s">
        <v>606</v>
      </c>
      <c r="AD35" s="1"/>
      <c r="AE35" s="1" t="s">
        <v>60</v>
      </c>
      <c r="AF35" s="5">
        <v>46190</v>
      </c>
      <c r="AG35" s="1" t="s">
        <v>61</v>
      </c>
      <c r="AH35" s="1" t="s">
        <v>62</v>
      </c>
      <c r="AI35" s="1" t="s">
        <v>63</v>
      </c>
      <c r="AJ35" s="1" t="str">
        <f t="shared" si="1"/>
        <v>aidsvu aidsvu (aidsvu) u.s. hiv prevalence, diagnosis, prep, care-related maps and local indicators open/public open/public hiv/infectious disease sdoh/geospatial; health care utilization/cost; substance use; mental health 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 reports/dashboard hiv/infectious disease; sdoh/geospatial; health disparities; hiv prevention; hiv care continuum; health care utilization/cost; spatial epidemiology people living with hiv, new hiv diagnoses, prep users, and hiv care populations in the u.s. united states county zip/zcta high 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 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 cdc atlasplus; u.s. census american community survey (acs); cdc/atsdr social vulnerability index (svi); ahrq sdoh database 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 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v>
      </c>
    </row>
    <row r="36" spans="1:36" ht="280.5" customHeight="1">
      <c r="A36" s="1" t="s">
        <v>607</v>
      </c>
      <c r="B36" s="1" t="s">
        <v>608</v>
      </c>
      <c r="C36" s="1" t="s">
        <v>609</v>
      </c>
      <c r="D36" s="1" t="s">
        <v>610</v>
      </c>
      <c r="E36" s="1" t="s">
        <v>611</v>
      </c>
      <c r="F36" s="1" t="s">
        <v>224</v>
      </c>
      <c r="G36" s="1" t="s">
        <v>224</v>
      </c>
      <c r="H36" s="1" t="s">
        <v>137</v>
      </c>
      <c r="I36" s="1" t="s">
        <v>580</v>
      </c>
      <c r="J36" s="1" t="s">
        <v>612</v>
      </c>
      <c r="K36" s="1" t="s">
        <v>613</v>
      </c>
      <c r="L36" s="1" t="s">
        <v>290</v>
      </c>
      <c r="M36" s="1" t="s">
        <v>614</v>
      </c>
      <c r="N36" s="1" t="s">
        <v>615</v>
      </c>
      <c r="O36" s="1" t="s">
        <v>48</v>
      </c>
      <c r="P36" s="1" t="s">
        <v>616</v>
      </c>
      <c r="Q36" s="1" t="s">
        <v>293</v>
      </c>
      <c r="R36" s="1" t="s">
        <v>52</v>
      </c>
      <c r="S36" s="1" t="s">
        <v>51</v>
      </c>
      <c r="T36" s="1" t="s">
        <v>51</v>
      </c>
      <c r="U36" s="1" t="s">
        <v>617</v>
      </c>
      <c r="V36" s="1" t="s">
        <v>618</v>
      </c>
      <c r="W36" s="1" t="s">
        <v>62</v>
      </c>
      <c r="X36" s="1" t="s">
        <v>42</v>
      </c>
      <c r="Y36" s="1" t="s">
        <v>619</v>
      </c>
      <c r="Z36" s="1" t="s">
        <v>620</v>
      </c>
      <c r="AA36" s="1" t="s">
        <v>621</v>
      </c>
      <c r="AB36" s="1" t="s">
        <v>622</v>
      </c>
      <c r="AC36" s="1" t="s">
        <v>623</v>
      </c>
      <c r="AD36" s="1"/>
      <c r="AE36" s="1" t="s">
        <v>51</v>
      </c>
      <c r="AF36" s="5">
        <v>46190</v>
      </c>
      <c r="AG36" s="1" t="s">
        <v>117</v>
      </c>
      <c r="AH36" s="1" t="s">
        <v>62</v>
      </c>
      <c r="AI36" s="1" t="s">
        <v>63</v>
      </c>
      <c r="AJ36" s="1" t="str">
        <f t="shared" si="1"/>
        <v>ahead hiv dashboard hiv.gov ahead (hiv.gov) ending the hiv epidemic indicators for priority jurisdictions, states, and u.s. open/public open/public hiv/infectious disease hiv; ending the hiv epidemic; ehe; public health surveillance; hiv diagnoses; hiv incidence; linkage to care; viral suppression; prep; sdoh; health disparities; dashboard hiv; ehe; ending the hiv epidemic; diagnoses; incidence; prep; linkage to care; viral suppression; knowledge of status; health disparities; sdoh; poverty; uninsured; housing burden; hiv stigma; county; state; priority jurisdictions; dashboard reports/dashboard hiv surveillance; hiv prevention; hiv care continuum; prep coverage; viral suppression; linkage to hiv care; sdoh; health disparities; ending the hiv epidemic priority jurisdictions u.s. populations affected by hiv, including people with diagnosed hiv, people newly diagnosed with hiv, and people eligible for hiv prevention services united states county/zip code county high 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 hiv surveillance; ending the hiv epidemic progress monitoring; hiv prevention planning; prep coverage analyses; linkage-to-care and viral suppression tracking; hiv disparities research; sdoh context for hiv outcomes; state and county hiv trend visualization cdc atlasplus; aidsvu; cdc wonder; brfss; acs; cdc/atsdr svi; county health rankings; sc dph 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 open/public dashboard; no registration required; verify indicator definitions, data methods, update date, geography level, suppression rules, and citation guidance before analysis.</v>
      </c>
    </row>
    <row r="37" spans="1:36" ht="409.5" customHeight="1">
      <c r="A37" s="1" t="s">
        <v>624</v>
      </c>
      <c r="B37" s="1" t="s">
        <v>625</v>
      </c>
      <c r="C37" s="1" t="s">
        <v>626</v>
      </c>
      <c r="D37" s="4" t="s">
        <v>627</v>
      </c>
      <c r="E37" s="1" t="s">
        <v>628</v>
      </c>
      <c r="F37" s="1" t="s">
        <v>455</v>
      </c>
      <c r="G37" s="1" t="s">
        <v>455</v>
      </c>
      <c r="H37" s="1" t="s">
        <v>62</v>
      </c>
      <c r="I37" s="1" t="s">
        <v>89</v>
      </c>
      <c r="J37" s="1" t="s">
        <v>629</v>
      </c>
      <c r="K37" s="1" t="s">
        <v>630</v>
      </c>
      <c r="L37" s="1" t="s">
        <v>192</v>
      </c>
      <c r="M37" s="1" t="s">
        <v>631</v>
      </c>
      <c r="N37" s="1" t="s">
        <v>632</v>
      </c>
      <c r="O37" s="1" t="s">
        <v>48</v>
      </c>
      <c r="P37" s="1" t="s">
        <v>49</v>
      </c>
      <c r="Q37" s="1" t="s">
        <v>50</v>
      </c>
      <c r="R37" s="1" t="s">
        <v>51</v>
      </c>
      <c r="S37" s="1" t="s">
        <v>52</v>
      </c>
      <c r="T37" s="1" t="s">
        <v>129</v>
      </c>
      <c r="U37" s="1" t="s">
        <v>633</v>
      </c>
      <c r="V37" s="1" t="s">
        <v>507</v>
      </c>
      <c r="W37" s="1" t="s">
        <v>62</v>
      </c>
      <c r="X37" s="1" t="s">
        <v>62</v>
      </c>
      <c r="Y37" s="1" t="s">
        <v>634</v>
      </c>
      <c r="Z37" s="1" t="s">
        <v>635</v>
      </c>
      <c r="AA37" s="1" t="s">
        <v>636</v>
      </c>
      <c r="AB37" s="1" t="s">
        <v>637</v>
      </c>
      <c r="AC37" s="1" t="s">
        <v>638</v>
      </c>
      <c r="AD37" s="1"/>
      <c r="AE37" s="1" t="s">
        <v>60</v>
      </c>
      <c r="AF37" s="5">
        <v>46191</v>
      </c>
      <c r="AG37" s="1" t="s">
        <v>61</v>
      </c>
      <c r="AH37" s="1" t="s">
        <v>62</v>
      </c>
      <c r="AI37" s="1" t="s">
        <v>63</v>
      </c>
      <c r="AJ37" s="1" t="str">
        <f t="shared" si="1"/>
        <v>nci genomic data commons / tcga gdc data portal (gdc portal) cancer genomics, clinical, biospecimen, molecular data including tcga and cptac open plus controlled data open plus controlled data cancer genomics/molecular; clinical trials; imaging 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 genomics/molecular cancer; genomics/molecular; precision oncology; cancer biology; biomarker discovery; translational research; multi-omics individuals with cancer whose clinical, genomic, biospecimen, and related research data have been contributed through nci-funded and partner cancer research projects united states other patient medium 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 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 the cancer imaging archive (tcia); seer program; dbgap; ncbi geo 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 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v>
      </c>
    </row>
    <row r="38" spans="1:36" ht="409.5" customHeight="1">
      <c r="A38" s="1" t="s">
        <v>639</v>
      </c>
      <c r="B38" s="1" t="s">
        <v>640</v>
      </c>
      <c r="C38" s="1" t="s">
        <v>641</v>
      </c>
      <c r="D38" s="4" t="s">
        <v>642</v>
      </c>
      <c r="E38" s="1" t="s">
        <v>643</v>
      </c>
      <c r="F38" s="1" t="s">
        <v>224</v>
      </c>
      <c r="G38" s="1" t="s">
        <v>224</v>
      </c>
      <c r="H38" s="1" t="s">
        <v>137</v>
      </c>
      <c r="I38" s="1" t="s">
        <v>209</v>
      </c>
      <c r="J38" s="1" t="s">
        <v>644</v>
      </c>
      <c r="K38" s="1" t="s">
        <v>645</v>
      </c>
      <c r="L38" s="1" t="s">
        <v>209</v>
      </c>
      <c r="M38" s="1" t="s">
        <v>646</v>
      </c>
      <c r="N38" s="1" t="s">
        <v>647</v>
      </c>
      <c r="O38" s="1" t="s">
        <v>197</v>
      </c>
      <c r="P38" s="1" t="s">
        <v>49</v>
      </c>
      <c r="Q38" s="1" t="s">
        <v>50</v>
      </c>
      <c r="R38" s="1" t="s">
        <v>51</v>
      </c>
      <c r="S38" s="1" t="s">
        <v>52</v>
      </c>
      <c r="T38" s="1" t="s">
        <v>129</v>
      </c>
      <c r="U38" s="1" t="s">
        <v>648</v>
      </c>
      <c r="V38" s="1" t="s">
        <v>649</v>
      </c>
      <c r="W38" s="1" t="s">
        <v>62</v>
      </c>
      <c r="X38" s="1" t="s">
        <v>62</v>
      </c>
      <c r="Y38" s="1" t="s">
        <v>650</v>
      </c>
      <c r="Z38" s="1" t="s">
        <v>651</v>
      </c>
      <c r="AA38" s="1" t="s">
        <v>652</v>
      </c>
      <c r="AB38" s="1" t="s">
        <v>653</v>
      </c>
      <c r="AC38" s="1" t="s">
        <v>654</v>
      </c>
      <c r="AD38" s="1"/>
      <c r="AE38" s="1" t="s">
        <v>60</v>
      </c>
      <c r="AF38" s="5">
        <v>46191</v>
      </c>
      <c r="AG38" s="1" t="s">
        <v>61</v>
      </c>
      <c r="AH38" s="1" t="s">
        <v>62</v>
      </c>
      <c r="AI38" s="1" t="s">
        <v>63</v>
      </c>
      <c r="AJ38" s="1" t="str">
        <f t="shared" si="1"/>
        <v>the cancer imaging archive — tcia tcia (cancer imaging archive) de-identified cancer imaging, radiology, pathology, linked clinical/genomic collections open/public open/public imaging cancer; genomics/molecular; clinical trials 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 imaging imaging; cancer; radiomics; precision oncology; imaging biomarkers; image analysis and machine learning; translational cancer research de-identified cancer imaging data from tens of thousands of patients global/international other patient medium 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 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 nci genomic data commons (gdc)/tcga; seer program; dbgap; ncbi geo 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 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v>
      </c>
    </row>
    <row r="39" spans="1:36" ht="409.5" customHeight="1">
      <c r="A39" s="1" t="s">
        <v>655</v>
      </c>
      <c r="B39" s="1" t="s">
        <v>656</v>
      </c>
      <c r="C39" s="1" t="s">
        <v>657</v>
      </c>
      <c r="D39" s="4" t="s">
        <v>658</v>
      </c>
      <c r="E39" s="1" t="s">
        <v>659</v>
      </c>
      <c r="F39" s="1" t="s">
        <v>455</v>
      </c>
      <c r="G39" s="1" t="s">
        <v>455</v>
      </c>
      <c r="H39" s="1" t="s">
        <v>62</v>
      </c>
      <c r="I39" s="1" t="s">
        <v>192</v>
      </c>
      <c r="J39" s="1" t="s">
        <v>660</v>
      </c>
      <c r="K39" s="1" t="s">
        <v>661</v>
      </c>
      <c r="L39" s="1" t="s">
        <v>192</v>
      </c>
      <c r="M39" s="1" t="s">
        <v>662</v>
      </c>
      <c r="N39" s="1" t="s">
        <v>663</v>
      </c>
      <c r="O39" s="1" t="s">
        <v>48</v>
      </c>
      <c r="P39" s="1" t="s">
        <v>49</v>
      </c>
      <c r="Q39" s="1" t="s">
        <v>75</v>
      </c>
      <c r="R39" s="1" t="s">
        <v>51</v>
      </c>
      <c r="S39" s="1" t="s">
        <v>52</v>
      </c>
      <c r="T39" s="1" t="s">
        <v>51</v>
      </c>
      <c r="U39" s="1" t="s">
        <v>664</v>
      </c>
      <c r="V39" s="1" t="s">
        <v>665</v>
      </c>
      <c r="W39" s="1" t="s">
        <v>62</v>
      </c>
      <c r="X39" s="1" t="s">
        <v>62</v>
      </c>
      <c r="Y39" s="1" t="s">
        <v>666</v>
      </c>
      <c r="Z39" s="1" t="s">
        <v>667</v>
      </c>
      <c r="AA39" s="1" t="s">
        <v>668</v>
      </c>
      <c r="AB39" s="1" t="s">
        <v>669</v>
      </c>
      <c r="AC39" s="1" t="s">
        <v>670</v>
      </c>
      <c r="AD39" s="1"/>
      <c r="AE39" s="1" t="s">
        <v>52</v>
      </c>
      <c r="AF39" s="5">
        <v>46191</v>
      </c>
      <c r="AG39" s="1" t="s">
        <v>61</v>
      </c>
      <c r="AH39" s="1" t="s">
        <v>137</v>
      </c>
      <c r="AI39" s="1" t="s">
        <v>63</v>
      </c>
      <c r="AJ39" s="1" t="str">
        <f t="shared" si="1"/>
        <v>dbgap nih dbgap (dbgap.ncbi.nlm.nih.gov) human genotype–phenotype studies, genomic and clinical phenotype data open plus controlled data open plus controlled data genomics/molecular cancer; chronic disease; mental health; maternal/child health; hiv/infectious disease 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 genomics/molecular genomics/molecular; precision medicine; human genetics; genetic epidemiology; multi-omics; biomarker discovery; translational research participants enrolled in genetic, genomic, clinical, epidemiologic, and phenotype studies, contains data from millions of study participants across thousands of studies united states other individual medium 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 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 ncbi geo; nci genomic data commons (gdc)/tcga; the cancer imaging archive (tcia); all of us research program 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 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v>
      </c>
    </row>
    <row r="40" spans="1:36" ht="409.5" customHeight="1">
      <c r="A40" s="1" t="s">
        <v>671</v>
      </c>
      <c r="B40" s="1" t="s">
        <v>672</v>
      </c>
      <c r="C40" s="1" t="s">
        <v>673</v>
      </c>
      <c r="D40" s="4" t="s">
        <v>674</v>
      </c>
      <c r="E40" s="1" t="s">
        <v>675</v>
      </c>
      <c r="F40" s="1" t="s">
        <v>224</v>
      </c>
      <c r="G40" s="1" t="s">
        <v>224</v>
      </c>
      <c r="H40" s="1" t="s">
        <v>137</v>
      </c>
      <c r="I40" s="1" t="s">
        <v>192</v>
      </c>
      <c r="J40" s="1" t="s">
        <v>676</v>
      </c>
      <c r="K40" s="1" t="s">
        <v>677</v>
      </c>
      <c r="L40" s="1" t="s">
        <v>192</v>
      </c>
      <c r="M40" s="1" t="s">
        <v>678</v>
      </c>
      <c r="N40" s="1" t="s">
        <v>679</v>
      </c>
      <c r="O40" s="1" t="s">
        <v>197</v>
      </c>
      <c r="P40" s="1" t="s">
        <v>49</v>
      </c>
      <c r="Q40" s="1" t="s">
        <v>75</v>
      </c>
      <c r="R40" s="1" t="s">
        <v>51</v>
      </c>
      <c r="S40" s="1" t="s">
        <v>52</v>
      </c>
      <c r="T40" s="1" t="s">
        <v>129</v>
      </c>
      <c r="U40" s="1" t="s">
        <v>344</v>
      </c>
      <c r="V40" s="1" t="s">
        <v>649</v>
      </c>
      <c r="W40" s="1" t="s">
        <v>62</v>
      </c>
      <c r="X40" s="1" t="s">
        <v>62</v>
      </c>
      <c r="Y40" s="1" t="s">
        <v>680</v>
      </c>
      <c r="Z40" s="1" t="s">
        <v>681</v>
      </c>
      <c r="AA40" s="1" t="s">
        <v>682</v>
      </c>
      <c r="AB40" s="1" t="s">
        <v>683</v>
      </c>
      <c r="AC40" s="1" t="s">
        <v>684</v>
      </c>
      <c r="AD40" s="1"/>
      <c r="AE40" s="1" t="s">
        <v>52</v>
      </c>
      <c r="AF40" s="5">
        <v>46191</v>
      </c>
      <c r="AG40" s="1" t="s">
        <v>61</v>
      </c>
      <c r="AH40" s="1" t="s">
        <v>137</v>
      </c>
      <c r="AI40" s="1" t="s">
        <v>63</v>
      </c>
      <c r="AJ40" s="1" t="str">
        <f t="shared" si="1"/>
        <v>ncbi geo gene expression omnibus (ncbi) gene expression, transcriptomics, functional genomics datasets open/public open/public genomics/molecular cancer; chronic disease; mental health; hiv/infectious disease; maternal/child health 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 genomics/molecular genomics/molecular; transcriptomics; functional genomics; epigenomics; biomarker discovery; systems biology; translational research samples from a wide range of organisms, including humans, animals, plants, microbes, and cell lines global/international other individual medium 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 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 dbgap; nci genomic data commons (gdc)/tcga; the cancer imaging archive (tcia) 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 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v>
      </c>
    </row>
    <row r="41" spans="1:36" ht="409.5" customHeight="1">
      <c r="A41" s="1" t="s">
        <v>685</v>
      </c>
      <c r="B41" s="1" t="s">
        <v>686</v>
      </c>
      <c r="C41" s="1" t="s">
        <v>687</v>
      </c>
      <c r="D41" s="4" t="s">
        <v>688</v>
      </c>
      <c r="E41" s="1" t="s">
        <v>689</v>
      </c>
      <c r="F41" s="1" t="s">
        <v>690</v>
      </c>
      <c r="G41" s="1" t="s">
        <v>691</v>
      </c>
      <c r="H41" s="1" t="s">
        <v>62</v>
      </c>
      <c r="I41" s="1" t="s">
        <v>43</v>
      </c>
      <c r="J41" s="1" t="s">
        <v>692</v>
      </c>
      <c r="K41" s="1" t="s">
        <v>693</v>
      </c>
      <c r="L41" s="1" t="s">
        <v>694</v>
      </c>
      <c r="M41" s="1" t="s">
        <v>695</v>
      </c>
      <c r="N41" s="1" t="s">
        <v>695</v>
      </c>
      <c r="O41" s="1" t="s">
        <v>197</v>
      </c>
      <c r="P41" s="1" t="s">
        <v>49</v>
      </c>
      <c r="Q41" s="1" t="s">
        <v>50</v>
      </c>
      <c r="R41" s="1" t="s">
        <v>51</v>
      </c>
      <c r="S41" s="1" t="s">
        <v>52</v>
      </c>
      <c r="T41" s="1" t="s">
        <v>51</v>
      </c>
      <c r="U41" s="1" t="s">
        <v>696</v>
      </c>
      <c r="V41" s="1" t="s">
        <v>697</v>
      </c>
      <c r="W41" s="1" t="s">
        <v>62</v>
      </c>
      <c r="X41" s="1" t="s">
        <v>62</v>
      </c>
      <c r="Y41" s="1" t="s">
        <v>698</v>
      </c>
      <c r="Z41" s="1" t="s">
        <v>699</v>
      </c>
      <c r="AA41" s="1" t="s">
        <v>700</v>
      </c>
      <c r="AB41" s="1" t="s">
        <v>701</v>
      </c>
      <c r="AC41" s="1" t="s">
        <v>702</v>
      </c>
      <c r="AD41" s="1"/>
      <c r="AE41" s="1" t="s">
        <v>60</v>
      </c>
      <c r="AF41" s="5">
        <v>46191</v>
      </c>
      <c r="AG41" s="1" t="s">
        <v>61</v>
      </c>
      <c r="AH41" s="1" t="s">
        <v>137</v>
      </c>
      <c r="AI41" s="1" t="s">
        <v>63</v>
      </c>
      <c r="AJ41" s="1" t="str">
        <f t="shared" si="1"/>
        <v>physionet physionet (physionet) physiologic signals, clinical datasets, ecg, icu, waveform, biomedical data open plus credentialed access plus restricted access open plus credentialed access ehr/clinical synthetic/methods physiological signals; ecg; icu monitoring; waveform data; clinical databases; biomedical research; machine learning; time series analysis; digital health; open health data physiologic signals biomedical signal processing; critical care; cardiology; clinical informatics; machine learning; digital health; biomedical engineering; health data science biomedical signal processing; critical care; cardiology; clinical informatics; machine learning; digital health; biomedical engineering; health data science global/international other patient medium ecg signals; heart rate; blood pressure; respiratory rate; oxygen saturation (spo₂); eeg signals; icu vital signs; laboratory values; demographics; clinical outcomes 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 mimic-iv; n3c data enclave; all of us research program; uk biobank; synthea 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 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v>
      </c>
    </row>
    <row r="42" spans="1:36" ht="409.5" customHeight="1">
      <c r="A42" s="1" t="s">
        <v>703</v>
      </c>
      <c r="B42" s="1" t="s">
        <v>704</v>
      </c>
      <c r="C42" s="1" t="s">
        <v>705</v>
      </c>
      <c r="D42" s="4" t="s">
        <v>706</v>
      </c>
      <c r="E42" s="1" t="s">
        <v>707</v>
      </c>
      <c r="F42" s="1" t="s">
        <v>708</v>
      </c>
      <c r="G42" s="1" t="s">
        <v>708</v>
      </c>
      <c r="H42" s="1" t="s">
        <v>42</v>
      </c>
      <c r="I42" s="1" t="s">
        <v>43</v>
      </c>
      <c r="J42" s="1" t="s">
        <v>709</v>
      </c>
      <c r="K42" s="1" t="s">
        <v>710</v>
      </c>
      <c r="L42" s="1" t="s">
        <v>43</v>
      </c>
      <c r="M42" s="1" t="s">
        <v>711</v>
      </c>
      <c r="N42" s="1" t="s">
        <v>712</v>
      </c>
      <c r="O42" s="1" t="s">
        <v>48</v>
      </c>
      <c r="P42" s="1" t="s">
        <v>713</v>
      </c>
      <c r="Q42" s="1" t="s">
        <v>50</v>
      </c>
      <c r="R42" s="1" t="s">
        <v>51</v>
      </c>
      <c r="S42" s="1" t="s">
        <v>52</v>
      </c>
      <c r="T42" s="1" t="s">
        <v>51</v>
      </c>
      <c r="U42" s="1" t="s">
        <v>714</v>
      </c>
      <c r="V42" s="1" t="s">
        <v>715</v>
      </c>
      <c r="W42" s="1" t="s">
        <v>42</v>
      </c>
      <c r="X42" s="1" t="s">
        <v>42</v>
      </c>
      <c r="Y42" s="1" t="s">
        <v>716</v>
      </c>
      <c r="Z42" s="1" t="s">
        <v>717</v>
      </c>
      <c r="AA42" s="1" t="s">
        <v>718</v>
      </c>
      <c r="AB42" s="1" t="s">
        <v>719</v>
      </c>
      <c r="AC42" s="1" t="s">
        <v>720</v>
      </c>
      <c r="AD42" s="1"/>
      <c r="AE42" s="1" t="s">
        <v>60</v>
      </c>
      <c r="AF42" s="5">
        <v>46191</v>
      </c>
      <c r="AG42" s="1" t="s">
        <v>61</v>
      </c>
      <c r="AH42" s="1" t="s">
        <v>62</v>
      </c>
      <c r="AI42" s="1" t="s">
        <v>63</v>
      </c>
      <c r="AJ42" s="1" t="str">
        <f t="shared" si="1"/>
        <v>mimic-iv mimic-iv (physionet) de-identified icu, hospital, and emergency department ehr data credentialed access credentialed access ehr/clinical health care utilization/cost; synthetic/methods critical care; icu; electronic health records; hospital admissions; vital signs; laboratory results; medications; clinical outcomes; patient monitoring; intensive care database ehr/clinical critical care; intensive care medicine; clinical informatics; health services research; patient outcomes; hospital medicine; predictive analytics; machine learning in healthcare; digital health; biomedical data science 65,000+ icu patients and over 200,000+ ed patients admitted at beth israel deaconess medical center (bidmc) united states hospital/health system patient high demographics; diagnoses (icd codes); vital signs; laboratory results; medications; procedures; icu interventions; comorbidities; length of stay; mortality outcomes 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 physionet; n3c data enclave; all of us research program; hcup/hcupnet; cms data; synthea 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 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v>
      </c>
    </row>
    <row r="43" spans="1:36" ht="409.5" customHeight="1">
      <c r="A43" s="1" t="s">
        <v>721</v>
      </c>
      <c r="B43" s="1" t="s">
        <v>722</v>
      </c>
      <c r="C43" s="1" t="s">
        <v>723</v>
      </c>
      <c r="D43" s="4" t="s">
        <v>724</v>
      </c>
      <c r="E43" s="1" t="s">
        <v>725</v>
      </c>
      <c r="F43" s="1" t="s">
        <v>224</v>
      </c>
      <c r="G43" s="1" t="s">
        <v>224</v>
      </c>
      <c r="H43" s="1" t="s">
        <v>137</v>
      </c>
      <c r="I43" s="1" t="s">
        <v>692</v>
      </c>
      <c r="J43" s="1" t="s">
        <v>726</v>
      </c>
      <c r="K43" s="1" t="s">
        <v>727</v>
      </c>
      <c r="L43" s="1" t="s">
        <v>728</v>
      </c>
      <c r="M43" s="1" t="s">
        <v>729</v>
      </c>
      <c r="N43" s="1" t="s">
        <v>730</v>
      </c>
      <c r="O43" s="1" t="s">
        <v>48</v>
      </c>
      <c r="P43" s="1" t="s">
        <v>49</v>
      </c>
      <c r="Q43" s="1" t="s">
        <v>75</v>
      </c>
      <c r="R43" s="1" t="s">
        <v>51</v>
      </c>
      <c r="S43" s="1" t="s">
        <v>51</v>
      </c>
      <c r="T43" s="1" t="s">
        <v>51</v>
      </c>
      <c r="U43" s="1" t="s">
        <v>731</v>
      </c>
      <c r="V43" s="1" t="s">
        <v>732</v>
      </c>
      <c r="W43" s="1" t="s">
        <v>137</v>
      </c>
      <c r="X43" s="1" t="s">
        <v>137</v>
      </c>
      <c r="Y43" s="1" t="s">
        <v>733</v>
      </c>
      <c r="Z43" s="1" t="s">
        <v>734</v>
      </c>
      <c r="AA43" s="1" t="s">
        <v>735</v>
      </c>
      <c r="AB43" s="1" t="s">
        <v>736</v>
      </c>
      <c r="AC43" s="1" t="s">
        <v>737</v>
      </c>
      <c r="AD43" s="1"/>
      <c r="AE43" s="1" t="s">
        <v>52</v>
      </c>
      <c r="AF43" s="5">
        <v>46191</v>
      </c>
      <c r="AG43" s="1" t="s">
        <v>61</v>
      </c>
      <c r="AH43" s="1" t="s">
        <v>137</v>
      </c>
      <c r="AI43" s="1" t="s">
        <v>63</v>
      </c>
      <c r="AJ43" s="1" t="str">
        <f t="shared" si="1"/>
        <v>synthea synthea (synthea.org) synthetic patient-level ehr data for methods development and testing open/public open/public synthetic/methods ehr/clinical; claims/payment/provider synthetic health data; synthetic patients; ehr simulation; healthcare interoperability; fhir; claims data; clinical encounters; population health modeling; health it testing; data standards synthetic data health informatics; synthetic data generation; healthcare interoperability; ehr systems; population health modeling; health it testing; clinical informatics; data standards and exchange; machine learning methods; digital health synthetic patients generated by simulation models united states other individual low demographics; diagnoses; procedures; medications; laboratory results; encounters; insurance coverage; care utilization; social determinants of health; mortality and health outcomes 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 mimic-iv; physionet; n3c data enclave; all of us research program; cms data; hcup/hcupnet 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 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v>
      </c>
    </row>
    <row r="44" spans="1:36" ht="243" customHeight="1">
      <c r="A44" s="1" t="s">
        <v>738</v>
      </c>
      <c r="B44" s="1" t="s">
        <v>739</v>
      </c>
      <c r="C44" s="1" t="s">
        <v>740</v>
      </c>
      <c r="D44" s="1" t="s">
        <v>741</v>
      </c>
      <c r="E44" s="1" t="s">
        <v>742</v>
      </c>
      <c r="F44" s="1" t="s">
        <v>224</v>
      </c>
      <c r="G44" s="1" t="s">
        <v>224</v>
      </c>
      <c r="H44" s="1" t="s">
        <v>137</v>
      </c>
      <c r="I44" s="1" t="s">
        <v>123</v>
      </c>
      <c r="J44" s="1" t="s">
        <v>743</v>
      </c>
      <c r="K44" s="1" t="s">
        <v>744</v>
      </c>
      <c r="L44" s="1" t="s">
        <v>745</v>
      </c>
      <c r="M44" s="1" t="s">
        <v>746</v>
      </c>
      <c r="N44" s="1" t="s">
        <v>747</v>
      </c>
      <c r="O44" s="1" t="s">
        <v>197</v>
      </c>
      <c r="P44" s="1" t="s">
        <v>748</v>
      </c>
      <c r="Q44" s="1" t="s">
        <v>749</v>
      </c>
      <c r="R44" s="1" t="s">
        <v>52</v>
      </c>
      <c r="S44" s="1" t="s">
        <v>51</v>
      </c>
      <c r="T44" s="1" t="s">
        <v>52</v>
      </c>
      <c r="U44" s="1" t="s">
        <v>750</v>
      </c>
      <c r="V44" s="1" t="s">
        <v>751</v>
      </c>
      <c r="W44" s="1" t="s">
        <v>62</v>
      </c>
      <c r="X44" s="1" t="s">
        <v>137</v>
      </c>
      <c r="Y44" s="1" t="s">
        <v>752</v>
      </c>
      <c r="Z44" s="1" t="s">
        <v>753</v>
      </c>
      <c r="AA44" s="1" t="s">
        <v>754</v>
      </c>
      <c r="AB44" s="1" t="s">
        <v>755</v>
      </c>
      <c r="AC44" s="1" t="s">
        <v>756</v>
      </c>
      <c r="AD44" s="1"/>
      <c r="AE44" s="1" t="s">
        <v>52</v>
      </c>
      <c r="AF44" s="5">
        <v>46191</v>
      </c>
      <c r="AG44" s="1" t="s">
        <v>117</v>
      </c>
      <c r="AH44" s="1" t="s">
        <v>137</v>
      </c>
      <c r="AI44" s="1" t="s">
        <v>63</v>
      </c>
      <c r="AJ44" s="1" t="str">
        <f t="shared" si="1"/>
        <v>clinicaltrials.gov clinicaltrials.gov api (clinicaltrials.gov) clinical trial registry, study design, interventions, sponsors, outcomes, locations open/public open/public clinical trials clinical trials; trial registry; interventions; recruitment; eligibility; sponsors; study locations; outcomes; conditions; drugs; devices; behavioral interventions; api; global trials trial; clinical trial; intervention; sponsor; recruitment; eligibility; outcomes; arms; phase; condition; drug; device; biologic; behavioral intervention; nct id; study location; protocol; results; api; registry trial registry clinical trials; interventional studies; observational studies; trial recruitment; eligibility criteria; study outcomes; trial locations; sponsors/collaborators; drug and device studies; public trial registration clinical studies and trial records of registered patients/subjects; global/international facility/provider study/trial low 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 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 pubmed; clinicaltrials.gov results database; fda drugs@fda; openfda; nih reporter; biolincc; dbgap; nci clinical trials search 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 open/public api; no registration generally required; verify api documentation, field definitions, usage guidance, pagination, citation, and terms of use before analysi</v>
      </c>
    </row>
    <row r="45" spans="1:36" ht="159" customHeight="1">
      <c r="A45" s="1" t="s">
        <v>757</v>
      </c>
      <c r="B45" s="1" t="s">
        <v>758</v>
      </c>
      <c r="C45" s="1" t="s">
        <v>759</v>
      </c>
      <c r="D45" s="4" t="s">
        <v>760</v>
      </c>
      <c r="E45" s="1" t="s">
        <v>761</v>
      </c>
      <c r="F45" s="1" t="s">
        <v>224</v>
      </c>
      <c r="G45" s="1" t="s">
        <v>224</v>
      </c>
      <c r="H45" s="1" t="s">
        <v>137</v>
      </c>
      <c r="I45" s="1" t="s">
        <v>49</v>
      </c>
      <c r="J45" s="1" t="s">
        <v>762</v>
      </c>
      <c r="K45" s="1" t="s">
        <v>763</v>
      </c>
      <c r="L45" s="1" t="s">
        <v>92</v>
      </c>
      <c r="M45" s="1" t="s">
        <v>764</v>
      </c>
      <c r="N45" s="1" t="s">
        <v>765</v>
      </c>
      <c r="O45" s="1" t="s">
        <v>48</v>
      </c>
      <c r="P45" s="1" t="s">
        <v>49</v>
      </c>
      <c r="Q45" s="1" t="s">
        <v>49</v>
      </c>
      <c r="R45" s="1" t="s">
        <v>51</v>
      </c>
      <c r="S45" s="1" t="s">
        <v>129</v>
      </c>
      <c r="T45" s="1" t="s">
        <v>52</v>
      </c>
      <c r="U45" s="1" t="s">
        <v>214</v>
      </c>
      <c r="V45" s="1" t="s">
        <v>766</v>
      </c>
      <c r="W45" s="1" t="s">
        <v>129</v>
      </c>
      <c r="X45" s="1" t="s">
        <v>137</v>
      </c>
      <c r="Y45" s="1" t="s">
        <v>767</v>
      </c>
      <c r="Z45" s="1" t="s">
        <v>768</v>
      </c>
      <c r="AA45" s="1" t="s">
        <v>769</v>
      </c>
      <c r="AB45" s="1" t="s">
        <v>770</v>
      </c>
      <c r="AC45" s="1" t="s">
        <v>771</v>
      </c>
      <c r="AD45" s="1"/>
      <c r="AE45" s="1" t="s">
        <v>52</v>
      </c>
      <c r="AF45" s="5">
        <v>46191</v>
      </c>
      <c r="AG45" s="1" t="s">
        <v>117</v>
      </c>
      <c r="AH45" s="1" t="s">
        <v>137</v>
      </c>
      <c r="AI45" s="1" t="s">
        <v>63</v>
      </c>
      <c r="AJ45" s="1" t="str">
        <f t="shared" si="1"/>
        <v>openfda / faers openfda drug event api / faers (openfda) adverse drug events, medication safety, post-marketing surveillance open/public open/public other medication safety; medical device adverse events; adverse drug events; pharmacovigilance; post-marketing surveillance; drug safety; medication errors; therapeutic biologics; fda; api; public dashboard adverse event; drug safety; medication safety; medical device monitoring; faers; openfda; pharmacovigilance; post-marketing surveillance; medication error; side effect; drug reaction; suspect drug; concomitant drug; therapeutic failure; product quality; api; json registry/surveillance adverse drug events; medication safety; pharmacovigilance; post-marketing surveillance; medication errors; drug reactions; product quality problems; therapeutic failures patients represented in adverse event and medication error reports submitted to fda for marketed drugs and therapeutic biologics united states other other low 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 medication safety surveillance; adverse drug event signal detection; pharmacovigilance research; post-marketing drug safety monitoring; medication error analyses; drug-reaction pattern exploration; api-based safety dashboard development fda faers public dashboard; drugs@fda; openfda drug label api; fda complete response letters; fda orange book; clinicaltrials.gov 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 open/public fda data source and api; no registration generally required; verify api documentation, field definitions, quarterly update timing, data lag, disclaimers, and responsible-use guidance before analysis.</v>
      </c>
    </row>
    <row r="46" spans="1:36" ht="409.5" customHeight="1">
      <c r="A46" s="1" t="s">
        <v>772</v>
      </c>
      <c r="B46" s="1" t="s">
        <v>773</v>
      </c>
      <c r="C46" s="1" t="s">
        <v>774</v>
      </c>
      <c r="D46" s="1" t="s">
        <v>775</v>
      </c>
      <c r="E46" s="1" t="s">
        <v>776</v>
      </c>
      <c r="F46" s="1" t="s">
        <v>224</v>
      </c>
      <c r="G46" s="1" t="s">
        <v>224</v>
      </c>
      <c r="H46" s="1" t="s">
        <v>137</v>
      </c>
      <c r="I46" s="1" t="s">
        <v>49</v>
      </c>
      <c r="J46" s="1" t="s">
        <v>777</v>
      </c>
      <c r="K46" s="1" t="s">
        <v>778</v>
      </c>
      <c r="L46" s="1" t="s">
        <v>92</v>
      </c>
      <c r="M46" s="1" t="s">
        <v>779</v>
      </c>
      <c r="N46" s="1" t="s">
        <v>780</v>
      </c>
      <c r="O46" s="1" t="s">
        <v>48</v>
      </c>
      <c r="P46" s="1" t="s">
        <v>259</v>
      </c>
      <c r="Q46" s="1" t="s">
        <v>75</v>
      </c>
      <c r="R46" s="1" t="s">
        <v>51</v>
      </c>
      <c r="S46" s="1" t="s">
        <v>51</v>
      </c>
      <c r="T46" s="1" t="s">
        <v>52</v>
      </c>
      <c r="U46" s="1" t="s">
        <v>781</v>
      </c>
      <c r="V46" s="1" t="s">
        <v>782</v>
      </c>
      <c r="W46" s="1" t="s">
        <v>62</v>
      </c>
      <c r="X46" s="1" t="s">
        <v>62</v>
      </c>
      <c r="Y46" s="1" t="s">
        <v>783</v>
      </c>
      <c r="Z46" s="1" t="s">
        <v>784</v>
      </c>
      <c r="AA46" s="1" t="s">
        <v>785</v>
      </c>
      <c r="AB46" s="1" t="s">
        <v>786</v>
      </c>
      <c r="AC46" s="1" t="s">
        <v>787</v>
      </c>
      <c r="AD46" s="1"/>
      <c r="AE46" s="1" t="s">
        <v>52</v>
      </c>
      <c r="AF46" s="5">
        <v>46191</v>
      </c>
      <c r="AG46" s="1" t="s">
        <v>117</v>
      </c>
      <c r="AH46" s="1" t="s">
        <v>137</v>
      </c>
      <c r="AI46" s="1" t="s">
        <v>63</v>
      </c>
      <c r="AJ46" s="1" t="str">
        <f t="shared" si="1"/>
        <v>vaers vaers data (vaers.hhs.gov) vaccine adverse event reports open/public open/public other vaccine safety; adverse events; pharmacovigilance; post-marketing surveillance; immunization; cdc; fda; passive surveillance; meddra; public health surveillance vaers; vaccine; adverse event; immunization; vaccine safety; side effects; post-marketing surveillance; passive surveillance; cdc; fda; meddra; vaccine lot; manufacturer; hospitalization; death; serious adverse event registry/surveillance vaccine safety; adverse events following immunization; immunization surveillance; post-marketing vaccine monitoring; serious adverse events; medication/vaccine safety people of all ages with suspected adverse events reported after administration of u.s.-licensed vaccines united states state individual medium 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 vaccine safety surveillance; adverse event signal detection; post-marketing vaccine monitoring; serious adverse event review; vaccine lot/manufacturer safety exploration; descriptive analyses of reported symptoms following vaccination cdc wonder; fda faers; openfda drug event api; cdc immunization data; cdc data portal; pubmed; clinicaltrials.gov 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 open/public downloadable csv files and cdc wonder access; no identifying individual information is provided in public files; captcha may be required for downloads; verify data use guide, update date, file structure, meddra coding, disclaimer, and responsible-use guidance before analysis.</v>
      </c>
    </row>
    <row r="47" spans="1:36" ht="409.5" customHeight="1">
      <c r="A47" s="1" t="s">
        <v>788</v>
      </c>
      <c r="B47" s="1" t="s">
        <v>789</v>
      </c>
      <c r="C47" s="1" t="s">
        <v>790</v>
      </c>
      <c r="D47" s="1" t="s">
        <v>791</v>
      </c>
      <c r="E47" s="1" t="s">
        <v>792</v>
      </c>
      <c r="F47" s="1" t="s">
        <v>224</v>
      </c>
      <c r="G47" s="1" t="s">
        <v>224</v>
      </c>
      <c r="H47" s="1" t="s">
        <v>137</v>
      </c>
      <c r="I47" s="1" t="s">
        <v>49</v>
      </c>
      <c r="J47" s="1" t="s">
        <v>793</v>
      </c>
      <c r="K47" s="1" t="s">
        <v>794</v>
      </c>
      <c r="L47" s="1" t="s">
        <v>795</v>
      </c>
      <c r="M47" s="1" t="s">
        <v>796</v>
      </c>
      <c r="N47" s="1" t="s">
        <v>797</v>
      </c>
      <c r="O47" s="1" t="s">
        <v>48</v>
      </c>
      <c r="P47" s="1" t="s">
        <v>326</v>
      </c>
      <c r="Q47" s="1" t="s">
        <v>293</v>
      </c>
      <c r="R47" s="1" t="s">
        <v>52</v>
      </c>
      <c r="S47" s="1" t="s">
        <v>51</v>
      </c>
      <c r="T47" s="1" t="s">
        <v>52</v>
      </c>
      <c r="U47" s="1" t="s">
        <v>798</v>
      </c>
      <c r="V47" s="1" t="s">
        <v>799</v>
      </c>
      <c r="W47" s="1" t="s">
        <v>42</v>
      </c>
      <c r="X47" s="1" t="s">
        <v>42</v>
      </c>
      <c r="Y47" s="1" t="s">
        <v>800</v>
      </c>
      <c r="Z47" s="1" t="s">
        <v>801</v>
      </c>
      <c r="AA47" s="1" t="s">
        <v>802</v>
      </c>
      <c r="AB47" s="1" t="s">
        <v>803</v>
      </c>
      <c r="AC47" s="1" t="s">
        <v>804</v>
      </c>
      <c r="AD47" s="1"/>
      <c r="AE47" s="1" t="s">
        <v>51</v>
      </c>
      <c r="AF47" s="5">
        <v>46192</v>
      </c>
      <c r="AG47" s="1" t="s">
        <v>117</v>
      </c>
      <c r="AH47" s="1" t="s">
        <v>42</v>
      </c>
      <c r="AI47" s="1" t="s">
        <v>63</v>
      </c>
      <c r="AJ47" s="1" t="str">
        <f t="shared" si="1"/>
        <v>cdc environmental public health tracking network cdc tracking network (ephtracking.cdc.gov) environmental exposures, asthma, heat, air quality, community health indicators open/public open/public other environmental health; public health surveillance; air quality; heat; climate; water quality; asthma; birth defects; cancer; environmental justice; sdoh; geospatial; dashboards; data explorer environment; environmental health; exposure; air quality; heat; climate; water; asthma; birth defects; cancer; environmental justice; public health; surveillance; cdc tracking; county; census tract; zip code; map; dashboard; data explorer environmental environmental exposure; environmental health; air quality; heat and climate; water quality; asthma; birth defects; cancer; environmental justice; public health surveillance; community health indicators u.s. populations and communities represented through environmental, health, exposure, and population indicators united states census tract county high 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 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 epa aqs; epa envirofacts; cdc places; acs; cdc/atsdr svi; county health rankings; cdc wonder; sc dph public health data 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 open/public cdc data explorer and dashboards; no registration generally required; verify indicator-specific metadata, update date, geography level, citation guidance, api/download documentation, and suppression/privacy rules.</v>
      </c>
    </row>
    <row r="48" spans="1:36" ht="409.5" customHeight="1">
      <c r="A48" s="1" t="s">
        <v>805</v>
      </c>
      <c r="B48" s="1" t="s">
        <v>806</v>
      </c>
      <c r="C48" s="1" t="s">
        <v>807</v>
      </c>
      <c r="D48" s="1" t="s">
        <v>808</v>
      </c>
      <c r="E48" s="1" t="s">
        <v>809</v>
      </c>
      <c r="F48" s="1" t="s">
        <v>224</v>
      </c>
      <c r="G48" s="1" t="s">
        <v>224</v>
      </c>
      <c r="H48" s="1" t="s">
        <v>137</v>
      </c>
      <c r="I48" s="1" t="s">
        <v>810</v>
      </c>
      <c r="J48" s="1" t="s">
        <v>811</v>
      </c>
      <c r="K48" s="1" t="s">
        <v>812</v>
      </c>
      <c r="L48" s="1" t="s">
        <v>795</v>
      </c>
      <c r="M48" s="1" t="s">
        <v>813</v>
      </c>
      <c r="N48" s="1" t="s">
        <v>814</v>
      </c>
      <c r="O48" s="1" t="s">
        <v>48</v>
      </c>
      <c r="P48" s="3" t="s">
        <v>815</v>
      </c>
      <c r="Q48" s="1" t="s">
        <v>815</v>
      </c>
      <c r="R48" s="1" t="s">
        <v>52</v>
      </c>
      <c r="S48" s="1" t="s">
        <v>51</v>
      </c>
      <c r="T48" s="1" t="s">
        <v>52</v>
      </c>
      <c r="U48" s="1" t="s">
        <v>816</v>
      </c>
      <c r="V48" s="1" t="s">
        <v>816</v>
      </c>
      <c r="W48" s="1" t="s">
        <v>42</v>
      </c>
      <c r="X48" s="1" t="s">
        <v>42</v>
      </c>
      <c r="Y48" s="1" t="s">
        <v>817</v>
      </c>
      <c r="Z48" s="1" t="s">
        <v>818</v>
      </c>
      <c r="AA48" s="1" t="s">
        <v>819</v>
      </c>
      <c r="AB48" s="1" t="s">
        <v>820</v>
      </c>
      <c r="AC48" s="1" t="s">
        <v>821</v>
      </c>
      <c r="AD48" s="1"/>
      <c r="AE48" s="1" t="s">
        <v>60</v>
      </c>
      <c r="AF48" s="5">
        <v>46191</v>
      </c>
      <c r="AG48" s="1" t="s">
        <v>117</v>
      </c>
      <c r="AH48" s="1" t="s">
        <v>62</v>
      </c>
      <c r="AI48" s="1" t="s">
        <v>63</v>
      </c>
      <c r="AJ48" s="1" t="str">
        <f t="shared" si="1"/>
        <v>epa envirofacts epa envirofacts data downloads (us epa) environmental facility, air, water, hazardous waste, toxic release, compliance data open/public open/public environmental exposure environmental health; epa; facilities; regulated facilities; toxic releases; air; water; land; waste; radiation; chemicals; tri; frs; sdwis; radnet; geospatial; environmental compliance environment; epa; envirofacts; facility; regulated facility; toxic release; tri; frs; sdwis; radnet; air; water; land; waste; chemicals; radiation; pollution; emissions; environmental exposure; latitude; longitude; geospatial; csv; api environmental environmental exposure; environmental health; toxic releases; regulated facilities; air pollution; water systems; waste management; radiation monitoring; chemical releases; environmental compliance; geospatial facility data u.s. environmental facilities, regulated entities, monitoring locations, water systems, chemical release sites, and communities potentially affected by environmental activities united states facility/provider facility/provider high 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 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 epa aqs; epa echo; epa tri; facility registry service; sdwis; radnet; cdc environmental public health tracking network; acs; cdc/atsdr svi; cdc places 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 open/public epa data downloads, geospatial files, searches, and apis; no registration generally required; verify program-specific metadata, data refresh schedule, citation guidance, licensing/terms, and responsible-use notes before analysis.</v>
      </c>
    </row>
    <row r="49" spans="1:36" ht="409.5" customHeight="1">
      <c r="A49" s="1" t="s">
        <v>822</v>
      </c>
      <c r="B49" s="1" t="s">
        <v>823</v>
      </c>
      <c r="C49" s="1" t="s">
        <v>824</v>
      </c>
      <c r="D49" s="4" t="s">
        <v>825</v>
      </c>
      <c r="E49" s="1" t="s">
        <v>826</v>
      </c>
      <c r="F49" s="1" t="s">
        <v>224</v>
      </c>
      <c r="G49" s="1" t="s">
        <v>224</v>
      </c>
      <c r="H49" s="1" t="s">
        <v>137</v>
      </c>
      <c r="I49" s="1" t="s">
        <v>810</v>
      </c>
      <c r="J49" s="1" t="s">
        <v>827</v>
      </c>
      <c r="K49" s="1" t="s">
        <v>828</v>
      </c>
      <c r="L49" s="1" t="s">
        <v>795</v>
      </c>
      <c r="M49" s="1" t="s">
        <v>829</v>
      </c>
      <c r="N49" s="1" t="s">
        <v>830</v>
      </c>
      <c r="O49" s="1" t="s">
        <v>48</v>
      </c>
      <c r="P49" s="1" t="s">
        <v>49</v>
      </c>
      <c r="Q49" s="1" t="s">
        <v>49</v>
      </c>
      <c r="R49" s="1" t="s">
        <v>52</v>
      </c>
      <c r="S49" s="1" t="s">
        <v>51</v>
      </c>
      <c r="T49" s="1" t="s">
        <v>51</v>
      </c>
      <c r="U49" s="1" t="s">
        <v>245</v>
      </c>
      <c r="V49" s="1" t="s">
        <v>697</v>
      </c>
      <c r="W49" s="1" t="s">
        <v>62</v>
      </c>
      <c r="X49" s="1" t="s">
        <v>42</v>
      </c>
      <c r="Y49" s="1" t="s">
        <v>831</v>
      </c>
      <c r="Z49" s="1" t="s">
        <v>832</v>
      </c>
      <c r="AA49" s="1" t="s">
        <v>833</v>
      </c>
      <c r="AB49" s="1" t="s">
        <v>834</v>
      </c>
      <c r="AC49" s="1" t="s">
        <v>835</v>
      </c>
      <c r="AD49" s="1"/>
      <c r="AE49" s="1" t="s">
        <v>52</v>
      </c>
      <c r="AF49" s="5">
        <v>46192</v>
      </c>
      <c r="AG49" s="1" t="s">
        <v>61</v>
      </c>
      <c r="AH49" s="1" t="s">
        <v>62</v>
      </c>
      <c r="AI49" s="1" t="s">
        <v>63</v>
      </c>
      <c r="AJ49" s="1" t="str">
        <f t="shared" si="1"/>
        <v>epa air quality system — aqs epa aqs api (aqs.epa.gov) ambient air monitoring data from u.s. monitors open/public open/public environmental exposure sdoh/geospatial; chronic disease air quality; air pollution; pm2.5; ozone; nitrogen dioxide (no₂); sulfur dioxide (so₂); carbon monoxide; environmental monitoring; ambient air measurements; epa monitoring stations environmental environmental health; air pollution exposure; environmental epidemiology; climate and health; respiratory health; cardiovascular health; exposure assessment; geospatial health analysis; environmental justice; public health surveillance air quality / pollution data collected by epa, state, and municipal monitoring (2,500 monitoring stations total, 500 city forecasts)- organized by geographic units united states other other high pm2.5 concentration; pm10 concentration; ozone (o₃); nitrogen dioxide (no₂); sulfur dioxide (so₂); carbon monoxide (co); air quality index (aqi); monitoring site location; date/time of measurement; pollutant exceedance indicators 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 cdc environmental public health tracking network; epa envirofacts; acs; cdc/atsdr svi; cdc places; county health rankings &amp; roadmaps; nhanes 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 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v>
      </c>
    </row>
    <row r="50" spans="1:36" ht="409.5" customHeight="1">
      <c r="A50" s="1" t="s">
        <v>836</v>
      </c>
      <c r="B50" s="1" t="s">
        <v>837</v>
      </c>
      <c r="C50" s="1" t="s">
        <v>838</v>
      </c>
      <c r="D50" s="4" t="s">
        <v>839</v>
      </c>
      <c r="E50" s="1" t="s">
        <v>840</v>
      </c>
      <c r="F50" s="1" t="s">
        <v>224</v>
      </c>
      <c r="G50" s="1" t="s">
        <v>224</v>
      </c>
      <c r="H50" s="1" t="s">
        <v>137</v>
      </c>
      <c r="I50" s="1" t="s">
        <v>841</v>
      </c>
      <c r="J50" s="1" t="s">
        <v>842</v>
      </c>
      <c r="K50" s="1" t="s">
        <v>843</v>
      </c>
      <c r="L50" s="1" t="s">
        <v>323</v>
      </c>
      <c r="M50" s="1" t="s">
        <v>844</v>
      </c>
      <c r="N50" s="1" t="s">
        <v>845</v>
      </c>
      <c r="O50" s="1" t="s">
        <v>48</v>
      </c>
      <c r="P50" s="1" t="s">
        <v>293</v>
      </c>
      <c r="Q50" s="1" t="s">
        <v>293</v>
      </c>
      <c r="R50" s="1" t="s">
        <v>52</v>
      </c>
      <c r="S50" s="1" t="s">
        <v>51</v>
      </c>
      <c r="T50" s="1" t="s">
        <v>51</v>
      </c>
      <c r="U50" s="1" t="s">
        <v>846</v>
      </c>
      <c r="V50" s="1" t="s">
        <v>847</v>
      </c>
      <c r="W50" s="1" t="s">
        <v>62</v>
      </c>
      <c r="X50" s="1" t="s">
        <v>42</v>
      </c>
      <c r="Y50" s="1" t="s">
        <v>848</v>
      </c>
      <c r="Z50" s="1" t="s">
        <v>849</v>
      </c>
      <c r="AA50" s="1" t="s">
        <v>850</v>
      </c>
      <c r="AB50" s="1" t="s">
        <v>851</v>
      </c>
      <c r="AC50" s="1" t="s">
        <v>852</v>
      </c>
      <c r="AD50" s="1"/>
      <c r="AE50" s="1" t="s">
        <v>51</v>
      </c>
      <c r="AF50" s="5">
        <v>46192</v>
      </c>
      <c r="AG50" s="1" t="s">
        <v>61</v>
      </c>
      <c r="AH50" s="1" t="s">
        <v>42</v>
      </c>
      <c r="AI50" s="1" t="s">
        <v>63</v>
      </c>
      <c r="AJ50" s="1" t="str">
        <f t="shared" si="1"/>
        <v>usda food environment atlas usda food environment atlas (economic research service) county food access, food stores, restaurants, assistance programs, local foods open/public open/public food/nutrition sdoh/geospatial; rurality food environment; food access; food deserts; nutrition; healthy food availability; grocery stores; food insecurity; snap participation; obesity; community food resources geospatial/area-level food access; nutrition and diet; food insecurity; obesity and chronic disease; community food environment; rural health; social determinants of health; health equity; geographic access to services; population health u.s. communities and resident populations represented at the county and state levels united states county county high food access indicators; food desert status; grocery store availability; snap participation; farmers market access; restaurant density; food insecurity measures; obesity prevalence; physical activity indicators; household vehicle access and distance to food retailers 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 acs; cdc places; county health rankings &amp; roadmaps; ahrq sdoh database; cdc/atsdr svi; usda rural-urban continuum codes; brfss 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 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v>
      </c>
    </row>
    <row r="51" spans="1:36" ht="409.5" customHeight="1">
      <c r="A51" s="1" t="s">
        <v>853</v>
      </c>
      <c r="B51" s="1" t="s">
        <v>854</v>
      </c>
      <c r="C51" s="1" t="s">
        <v>855</v>
      </c>
      <c r="D51" s="4" t="s">
        <v>856</v>
      </c>
      <c r="E51" s="1" t="s">
        <v>857</v>
      </c>
      <c r="F51" s="1" t="s">
        <v>224</v>
      </c>
      <c r="G51" s="1" t="s">
        <v>224</v>
      </c>
      <c r="H51" s="1" t="s">
        <v>137</v>
      </c>
      <c r="I51" s="1" t="s">
        <v>858</v>
      </c>
      <c r="J51" s="1" t="s">
        <v>339</v>
      </c>
      <c r="K51" s="1" t="s">
        <v>859</v>
      </c>
      <c r="L51" s="1" t="s">
        <v>323</v>
      </c>
      <c r="M51" s="1" t="s">
        <v>860</v>
      </c>
      <c r="N51" s="1" t="s">
        <v>861</v>
      </c>
      <c r="O51" s="1" t="s">
        <v>48</v>
      </c>
      <c r="P51" s="1" t="s">
        <v>293</v>
      </c>
      <c r="Q51" s="1" t="s">
        <v>293</v>
      </c>
      <c r="R51" s="1" t="s">
        <v>52</v>
      </c>
      <c r="S51" s="1" t="s">
        <v>51</v>
      </c>
      <c r="T51" s="1" t="s">
        <v>52</v>
      </c>
      <c r="U51" s="1" t="s">
        <v>862</v>
      </c>
      <c r="V51" s="1" t="s">
        <v>715</v>
      </c>
      <c r="W51" s="1" t="s">
        <v>62</v>
      </c>
      <c r="X51" s="1" t="s">
        <v>42</v>
      </c>
      <c r="Y51" s="1" t="s">
        <v>863</v>
      </c>
      <c r="Z51" s="1" t="s">
        <v>864</v>
      </c>
      <c r="AA51" s="1" t="s">
        <v>865</v>
      </c>
      <c r="AB51" s="1" t="s">
        <v>866</v>
      </c>
      <c r="AC51" s="1" t="s">
        <v>867</v>
      </c>
      <c r="AD51" s="1"/>
      <c r="AE51" s="1" t="s">
        <v>51</v>
      </c>
      <c r="AF51" s="5">
        <v>46192</v>
      </c>
      <c r="AG51" s="1" t="s">
        <v>61</v>
      </c>
      <c r="AH51" s="1" t="s">
        <v>42</v>
      </c>
      <c r="AI51" s="1" t="s">
        <v>63</v>
      </c>
      <c r="AJ51" s="1" t="str">
        <f t="shared" si="1"/>
        <v>usda rural-urban continuum codes usda rucc (economic research service) county-level rurality and metro/nonmetro classification open/public open/public rurality sdoh/geospatial rural-urban continuum codes; rucc; rurality; urbanization; metropolitan status; nonmetropolitan counties; county classification; rural health; geographic classification; usda rural indicators geospatial/area-level rural health; geographic disparities; social determinants of health; health services access; population health; health equity; regional development; healthcare workforce distribution; community characteristics; geospatial health research us population at community level - organized by degree of urbanization united states county county high rural-urban continuum code (rucc); metropolitan status; nonmetropolitan status; population size category; urbanization level; adjacency to metropolitan area; county fips code; county name; state; rurality classification category 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 acs; county health rankings &amp; roadmaps; ahrf; cdc places; cdc/atsdr svi; usda food environment atlas; brfss 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 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v>
      </c>
    </row>
    <row r="52" spans="1:36" ht="409.5" customHeight="1">
      <c r="A52" s="1" t="s">
        <v>868</v>
      </c>
      <c r="B52" s="1" t="s">
        <v>869</v>
      </c>
      <c r="C52" s="1" t="s">
        <v>870</v>
      </c>
      <c r="D52" s="4" t="s">
        <v>871</v>
      </c>
      <c r="E52" s="1" t="s">
        <v>872</v>
      </c>
      <c r="F52" s="1" t="s">
        <v>224</v>
      </c>
      <c r="G52" s="1" t="s">
        <v>224</v>
      </c>
      <c r="H52" s="1" t="s">
        <v>137</v>
      </c>
      <c r="I52" s="1" t="s">
        <v>873</v>
      </c>
      <c r="J52" s="1" t="s">
        <v>874</v>
      </c>
      <c r="K52" s="1" t="s">
        <v>875</v>
      </c>
      <c r="L52" s="1" t="s">
        <v>92</v>
      </c>
      <c r="M52" s="1" t="s">
        <v>876</v>
      </c>
      <c r="N52" s="1" t="s">
        <v>877</v>
      </c>
      <c r="O52" s="1" t="s">
        <v>197</v>
      </c>
      <c r="P52" s="1" t="s">
        <v>376</v>
      </c>
      <c r="Q52" s="1" t="s">
        <v>376</v>
      </c>
      <c r="R52" s="1" t="s">
        <v>52</v>
      </c>
      <c r="S52" s="1" t="s">
        <v>51</v>
      </c>
      <c r="T52" s="1" t="s">
        <v>51</v>
      </c>
      <c r="U52" s="1" t="s">
        <v>878</v>
      </c>
      <c r="V52" s="1" t="s">
        <v>95</v>
      </c>
      <c r="W52" s="1" t="s">
        <v>137</v>
      </c>
      <c r="X52" s="1" t="s">
        <v>137</v>
      </c>
      <c r="Y52" s="1" t="s">
        <v>879</v>
      </c>
      <c r="Z52" s="1" t="s">
        <v>880</v>
      </c>
      <c r="AA52" s="1" t="s">
        <v>881</v>
      </c>
      <c r="AB52" s="1" t="s">
        <v>882</v>
      </c>
      <c r="AC52" s="1" t="s">
        <v>883</v>
      </c>
      <c r="AD52" s="1"/>
      <c r="AE52" s="1" t="s">
        <v>60</v>
      </c>
      <c r="AF52" s="5">
        <v>46192</v>
      </c>
      <c r="AG52" s="1" t="s">
        <v>61</v>
      </c>
      <c r="AH52" s="1" t="s">
        <v>137</v>
      </c>
      <c r="AI52" s="1" t="s">
        <v>63</v>
      </c>
      <c r="AJ52" s="1" t="str">
        <f t="shared" si="1"/>
        <v>who global health observatory who gho (world health organization) global health indicators across who member states open/public open/public global health chronic disease; maternal/child health; hiv/infectious disease global health; international health statistics; who indicators; disease burden; mortality; life expectancy; maternal health; child health; infectious diseases; health systems registry/surveillance global health; population health; noncommunicable diseases; infectious diseases; maternal and child health; mortality and life expectancy; health systems and services; health equity; public health surveillance; sustainable development goals (sdgs) global populations represented through national and subnational health indicators global/international country country low life expectancy; mortality rates; infant mortality; maternal mortality; disease incidence and prevalence; vaccination coverage; hiv prevalence; tuberculosis incidence; health workforce indicators; health expenditure measures 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 world bank open data; ihme global burden of disease (gbd); oecd health statistics 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 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v>
      </c>
    </row>
    <row r="53" spans="1:36" ht="409.5" customHeight="1">
      <c r="A53" s="1" t="s">
        <v>884</v>
      </c>
      <c r="B53" s="1" t="s">
        <v>885</v>
      </c>
      <c r="C53" s="1" t="s">
        <v>886</v>
      </c>
      <c r="D53" s="4" t="s">
        <v>887</v>
      </c>
      <c r="E53" s="1" t="s">
        <v>888</v>
      </c>
      <c r="F53" s="1" t="s">
        <v>224</v>
      </c>
      <c r="G53" s="1" t="s">
        <v>224</v>
      </c>
      <c r="H53" s="1" t="s">
        <v>137</v>
      </c>
      <c r="I53" s="1" t="s">
        <v>873</v>
      </c>
      <c r="J53" s="1" t="s">
        <v>889</v>
      </c>
      <c r="K53" s="1" t="s">
        <v>890</v>
      </c>
      <c r="L53" s="1" t="s">
        <v>323</v>
      </c>
      <c r="M53" s="1" t="s">
        <v>891</v>
      </c>
      <c r="N53" s="1" t="s">
        <v>892</v>
      </c>
      <c r="O53" s="1" t="s">
        <v>197</v>
      </c>
      <c r="P53" s="1" t="s">
        <v>376</v>
      </c>
      <c r="Q53" s="1" t="s">
        <v>376</v>
      </c>
      <c r="R53" s="1" t="s">
        <v>52</v>
      </c>
      <c r="S53" s="1" t="s">
        <v>51</v>
      </c>
      <c r="T53" s="1" t="s">
        <v>51</v>
      </c>
      <c r="U53" s="1" t="s">
        <v>893</v>
      </c>
      <c r="V53" s="1" t="s">
        <v>894</v>
      </c>
      <c r="W53" s="1" t="s">
        <v>137</v>
      </c>
      <c r="X53" s="1" t="s">
        <v>137</v>
      </c>
      <c r="Y53" s="1" t="s">
        <v>895</v>
      </c>
      <c r="Z53" s="1" t="s">
        <v>896</v>
      </c>
      <c r="AA53" s="1" t="s">
        <v>897</v>
      </c>
      <c r="AB53" s="1" t="s">
        <v>898</v>
      </c>
      <c r="AC53" s="1" t="s">
        <v>899</v>
      </c>
      <c r="AD53" s="1"/>
      <c r="AE53" s="1" t="s">
        <v>60</v>
      </c>
      <c r="AF53" s="5">
        <v>46192</v>
      </c>
      <c r="AG53" s="1" t="s">
        <v>61</v>
      </c>
      <c r="AH53" s="1" t="s">
        <v>137</v>
      </c>
      <c r="AI53" s="1" t="s">
        <v>63</v>
      </c>
      <c r="AJ53" s="1" t="str">
        <f t="shared" si="1"/>
        <v>world bank open data world bank data (world bank open data) global development, population, health, economy, poverty, education indicators open/public open/public global health sdoh/geospatial; environmental exposure world bank indicators; international development; global health; economic indicators; poverty; population statistics; education; health expenditure; environment; country-level data geospatial/area-level global development; global health; population and demographics; poverty and inequality; economic development; education; environment and climate; social determinants of health; health systems and financing; sustainable development goals (sdgs) national populations, economies, and development systems worldwide global/international country country low population size; gdp per capita; poverty rates; life expectancy; mortality rates; health expenditure; education attainment; unemployment rate; fertility rate; co₂ emissions and environmental indicators 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 who global health observatory; ihme global burden of disease (gbd); oecd health statistics 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 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v>
      </c>
    </row>
    <row r="54" spans="1:36" ht="409.5" customHeight="1">
      <c r="A54" s="1" t="s">
        <v>900</v>
      </c>
      <c r="B54" s="1" t="s">
        <v>901</v>
      </c>
      <c r="C54" s="1" t="s">
        <v>902</v>
      </c>
      <c r="D54" s="4" t="s">
        <v>903</v>
      </c>
      <c r="E54" s="1" t="s">
        <v>904</v>
      </c>
      <c r="F54" s="1" t="s">
        <v>905</v>
      </c>
      <c r="G54" s="1" t="s">
        <v>905</v>
      </c>
      <c r="H54" s="1" t="s">
        <v>137</v>
      </c>
      <c r="I54" s="1" t="s">
        <v>873</v>
      </c>
      <c r="J54" s="1" t="s">
        <v>906</v>
      </c>
      <c r="K54" s="1" t="s">
        <v>907</v>
      </c>
      <c r="L54" s="1" t="s">
        <v>92</v>
      </c>
      <c r="M54" s="1" t="s">
        <v>908</v>
      </c>
      <c r="N54" s="1" t="s">
        <v>909</v>
      </c>
      <c r="O54" s="1" t="s">
        <v>197</v>
      </c>
      <c r="P54" s="1" t="s">
        <v>376</v>
      </c>
      <c r="Q54" s="1" t="s">
        <v>376</v>
      </c>
      <c r="R54" s="1" t="s">
        <v>52</v>
      </c>
      <c r="S54" s="1" t="s">
        <v>51</v>
      </c>
      <c r="T54" s="1" t="s">
        <v>51</v>
      </c>
      <c r="U54" s="1" t="s">
        <v>910</v>
      </c>
      <c r="V54" s="1" t="s">
        <v>95</v>
      </c>
      <c r="W54" s="1" t="s">
        <v>137</v>
      </c>
      <c r="X54" s="1" t="s">
        <v>137</v>
      </c>
      <c r="Y54" s="1" t="s">
        <v>911</v>
      </c>
      <c r="Z54" s="1" t="s">
        <v>912</v>
      </c>
      <c r="AA54" s="1" t="s">
        <v>913</v>
      </c>
      <c r="AB54" s="1" t="s">
        <v>914</v>
      </c>
      <c r="AC54" s="1" t="s">
        <v>915</v>
      </c>
      <c r="AD54" s="1"/>
      <c r="AE54" s="1" t="s">
        <v>60</v>
      </c>
      <c r="AF54" s="5">
        <v>46192</v>
      </c>
      <c r="AG54" s="1" t="s">
        <v>61</v>
      </c>
      <c r="AH54" s="1" t="s">
        <v>137</v>
      </c>
      <c r="AI54" s="1" t="s">
        <v>63</v>
      </c>
      <c r="AJ54" s="1" t="str">
        <f t="shared" si="1"/>
        <v>ihme global burden of disease — gbd gbd results tool (health data) global, national, and subnational disease burden, mortality, risk factor estimates open/public with terms open/public with terms global health chronic disease; hiv/infectious disease; mental health global burden of disease; mortality; disability-adjusted life years (dalys); years of life lost (ylls); years lived with disability (ylds); risk factors; disease burden; health metrics; life expectancy; population health estimates registry/surveillance global health; disease burden; mortality and survival; noncommunicable diseases; infectious diseases; mental health; risk factor epidemiology; population health; health disparities; health metrics and outcomes research global populations represented through disease, injury, mortality, and risk-factor estimates global/international country country low mortality rates; life expectancy; disability-adjusted life years (dalys); years of life lost (ylls); years lived with disability (ylds); disease prevalence; disease incidence; risk factor exposure; attributable burden estimates; healthy life expectancy (hale) 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 who global health observatory; world bank open data; oecd health statistics 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 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v>
      </c>
    </row>
    <row r="55" spans="1:36" ht="409.5" customHeight="1">
      <c r="A55" s="1" t="s">
        <v>916</v>
      </c>
      <c r="B55" s="1" t="s">
        <v>917</v>
      </c>
      <c r="C55" s="1" t="s">
        <v>918</v>
      </c>
      <c r="D55" s="1" t="s">
        <v>919</v>
      </c>
      <c r="E55" s="1" t="s">
        <v>920</v>
      </c>
      <c r="F55" s="1" t="s">
        <v>224</v>
      </c>
      <c r="G55" s="1" t="s">
        <v>224</v>
      </c>
      <c r="H55" s="1" t="s">
        <v>137</v>
      </c>
      <c r="I55" s="1" t="s">
        <v>402</v>
      </c>
      <c r="J55" s="1" t="s">
        <v>921</v>
      </c>
      <c r="K55" s="1" t="s">
        <v>922</v>
      </c>
      <c r="L55" s="1" t="s">
        <v>290</v>
      </c>
      <c r="M55" s="1" t="s">
        <v>923</v>
      </c>
      <c r="N55" s="1" t="s">
        <v>924</v>
      </c>
      <c r="O55" s="1" t="s">
        <v>197</v>
      </c>
      <c r="P55" s="1" t="s">
        <v>376</v>
      </c>
      <c r="Q55" s="1" t="s">
        <v>376</v>
      </c>
      <c r="R55" s="1" t="s">
        <v>52</v>
      </c>
      <c r="S55" s="1" t="s">
        <v>51</v>
      </c>
      <c r="T55" s="1" t="s">
        <v>52</v>
      </c>
      <c r="U55" s="1" t="s">
        <v>925</v>
      </c>
      <c r="V55" s="1" t="s">
        <v>230</v>
      </c>
      <c r="W55" s="1" t="s">
        <v>62</v>
      </c>
      <c r="X55" s="1" t="s">
        <v>137</v>
      </c>
      <c r="Y55" s="1" t="s">
        <v>926</v>
      </c>
      <c r="Z55" s="1" t="s">
        <v>927</v>
      </c>
      <c r="AA55" s="1" t="s">
        <v>928</v>
      </c>
      <c r="AB55" s="1" t="s">
        <v>929</v>
      </c>
      <c r="AC55" s="1" t="s">
        <v>930</v>
      </c>
      <c r="AD55" s="1"/>
      <c r="AE55" s="1" t="s">
        <v>52</v>
      </c>
      <c r="AF55" s="5">
        <v>46191</v>
      </c>
      <c r="AG55" s="1" t="s">
        <v>117</v>
      </c>
      <c r="AH55" s="1" t="s">
        <v>137</v>
      </c>
      <c r="AI55" s="1" t="s">
        <v>63</v>
      </c>
      <c r="AJ55" s="1" t="str">
        <f t="shared" si="1"/>
        <v>oecd health statistics oecd health statistics (oecd) comparable health system, health spending, utilization, outcomes across oecd countries open/public open/public health care utilization/cost health systems; international comparisons; health expenditure; health care utilization; health workforce; health care quality; health coverage; long-term care; risk factors; pharmaceutical market global; international; oecd; country; health systems; health expenditure; financing; utilization; quality; workforce; life expectancy; mortality; health coverage; long-term care; risk factors; tobacco; alcohol; obesity; pharmaceutical; comparative health statistics reports/dashboard health systems; health expenditure and financing; health status; health care resources; health care utilization; health care quality; pharmaceutical market; health coverage; long-term care; risk factors populations of oecd member and partner countries represented through national health and health system indicators global/international country country low 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 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 who global health observatory; world bank open data; ihme global burden of disease; eurostat; un population division country-level aggregate data only; definitions, reporting practices, and availability vary by country and indicator; not suitable for south carolina-specific or individual-level analyses; cross-country comparisons require careful review of oecd metadata and source notes. open/public oecd data source; verify indicator definitions, country coverage, metadata, update date, citation guidance, and oecd terms of use before analysis</v>
      </c>
    </row>
    <row r="56" spans="1:36" ht="219.75" customHeight="1">
      <c r="A56" s="1" t="s">
        <v>931</v>
      </c>
      <c r="B56" s="1" t="s">
        <v>932</v>
      </c>
      <c r="C56" s="1" t="s">
        <v>933</v>
      </c>
      <c r="D56" s="1" t="s">
        <v>934</v>
      </c>
      <c r="E56" s="1" t="s">
        <v>935</v>
      </c>
      <c r="F56" s="1" t="s">
        <v>936</v>
      </c>
      <c r="G56" s="1" t="s">
        <v>160</v>
      </c>
      <c r="H56" s="1" t="s">
        <v>62</v>
      </c>
      <c r="I56" s="1" t="s">
        <v>937</v>
      </c>
      <c r="J56" s="1" t="s">
        <v>938</v>
      </c>
      <c r="K56" s="1" t="s">
        <v>939</v>
      </c>
      <c r="L56" s="1" t="s">
        <v>290</v>
      </c>
      <c r="M56" s="1" t="s">
        <v>940</v>
      </c>
      <c r="N56" s="1" t="s">
        <v>941</v>
      </c>
      <c r="O56" s="1" t="s">
        <v>942</v>
      </c>
      <c r="P56" s="1" t="s">
        <v>616</v>
      </c>
      <c r="Q56" s="1" t="s">
        <v>294</v>
      </c>
      <c r="R56" s="1" t="s">
        <v>943</v>
      </c>
      <c r="S56" s="1" t="s">
        <v>51</v>
      </c>
      <c r="T56" s="1" t="s">
        <v>51</v>
      </c>
      <c r="U56" s="1" t="s">
        <v>944</v>
      </c>
      <c r="V56" s="1" t="s">
        <v>944</v>
      </c>
      <c r="W56" s="1" t="s">
        <v>62</v>
      </c>
      <c r="X56" s="1" t="s">
        <v>42</v>
      </c>
      <c r="Y56" s="1" t="s">
        <v>945</v>
      </c>
      <c r="Z56" s="1" t="s">
        <v>946</v>
      </c>
      <c r="AA56" s="1" t="s">
        <v>947</v>
      </c>
      <c r="AB56" s="1" t="s">
        <v>948</v>
      </c>
      <c r="AC56" s="1" t="s">
        <v>949</v>
      </c>
      <c r="AD56" s="1"/>
      <c r="AE56" s="1" t="s">
        <v>51</v>
      </c>
      <c r="AF56" s="5">
        <v>46190</v>
      </c>
      <c r="AG56" s="1" t="s">
        <v>117</v>
      </c>
      <c r="AH56" s="1" t="s">
        <v>42</v>
      </c>
      <c r="AI56" s="1" t="s">
        <v>63</v>
      </c>
      <c r="AJ56" s="1" t="str">
        <f t="shared" si="1"/>
        <v>south carolina dph public health data sc dph public health data (scdph) south carolina public health dashboards, reports, brfss, cancer registry, hiv/std, overdose, vital statistics resources open/public plus restricted components public-use plus restricted files south carolina/local data public health surveillance; south carolina/local data; chronic disease; infectious disease; environmental health; cancer; respiratory disease; maternal/child health; opioids; drug overdose; vital statistics; dashboards; reports south carolina; sc; dph; public health; surveillance; dashboards; reports; chronic disease; infectious disease; cancer; opioid; overdose; respiratory disease; covid-19; flu; rsv; environmental health; vital statistics; births; deaths; county reports/dashboard south carolina public health; chronic disease; infectious disease; environmental health; cancer; opioid and drug trends; maternal and child health; vital statistics; respiratory disease; injury and mortality south carolina residents represented in public health reports, dashboards, surveillance systems, and vital statistics south carolina county/zip code report/dashboard high 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 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 scandhec/scan; sc vital statistics; south carolina cancer registry; sc rfa health statistics; cdc places; brfss; cdc wonder; acs; county health rankings; cdc/atsdr svi public outputs are generally aggregated and may suppress small cells; restricted individual-level or confidential data require formal application, review, irb approval, and possible fees; availability and access rules vary by topic/program. 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v>
      </c>
    </row>
    <row r="57" spans="1:36" ht="409.5" customHeight="1">
      <c r="A57" s="1" t="s">
        <v>950</v>
      </c>
      <c r="B57" s="1" t="s">
        <v>951</v>
      </c>
      <c r="C57" s="1" t="s">
        <v>952</v>
      </c>
      <c r="D57" s="1" t="s">
        <v>953</v>
      </c>
      <c r="E57" s="1" t="s">
        <v>954</v>
      </c>
      <c r="F57" s="1" t="s">
        <v>224</v>
      </c>
      <c r="G57" s="1" t="s">
        <v>455</v>
      </c>
      <c r="H57" s="1" t="s">
        <v>137</v>
      </c>
      <c r="I57" s="1" t="s">
        <v>937</v>
      </c>
      <c r="J57" s="1" t="s">
        <v>955</v>
      </c>
      <c r="K57" s="1" t="s">
        <v>956</v>
      </c>
      <c r="L57" s="1" t="s">
        <v>290</v>
      </c>
      <c r="M57" s="1" t="s">
        <v>957</v>
      </c>
      <c r="N57" s="1" t="s">
        <v>958</v>
      </c>
      <c r="O57" s="1" t="s">
        <v>942</v>
      </c>
      <c r="P57" s="1" t="s">
        <v>600</v>
      </c>
      <c r="Q57" s="1" t="s">
        <v>600</v>
      </c>
      <c r="R57" s="1" t="s">
        <v>52</v>
      </c>
      <c r="S57" s="1" t="s">
        <v>51</v>
      </c>
      <c r="T57" s="1" t="s">
        <v>52</v>
      </c>
      <c r="U57" s="1" t="s">
        <v>959</v>
      </c>
      <c r="V57" s="1" t="s">
        <v>310</v>
      </c>
      <c r="W57" s="1" t="s">
        <v>62</v>
      </c>
      <c r="X57" s="1" t="s">
        <v>42</v>
      </c>
      <c r="Y57" s="1" t="s">
        <v>960</v>
      </c>
      <c r="Z57" s="1" t="s">
        <v>961</v>
      </c>
      <c r="AA57" s="1" t="s">
        <v>962</v>
      </c>
      <c r="AB57" s="1" t="s">
        <v>963</v>
      </c>
      <c r="AC57" s="1" t="s">
        <v>964</v>
      </c>
      <c r="AD57" s="1"/>
      <c r="AE57" s="1" t="s">
        <v>51</v>
      </c>
      <c r="AF57" s="5">
        <v>46190</v>
      </c>
      <c r="AG57" s="1" t="s">
        <v>117</v>
      </c>
      <c r="AH57" s="1" t="s">
        <v>42</v>
      </c>
      <c r="AI57" s="1" t="s">
        <v>63</v>
      </c>
      <c r="AJ57" s="1" t="str">
        <f t="shared" si="1"/>
        <v>scandhec / sc public health tables scandhec (dhec applications) user-specified south carolina public health tables and maps, including births and other state health datasets open/public open plus controlled data south carolina/local data vital statistics; births; deaths; pregnancy; population; maternal/child health; mortality; cancer; brfss; public health surveillance; community health; interactive maps; public health tables south carolina; sc; dhec; dph; scan; public health; vital statistics; births; deaths; pregnancy; mortality; cancer; brfss; population; county; zip code; tables; maps; community health; health indicators reports/dashboard south carolina public health; vital statistics; births; deaths; pregnancy; mortality; cancer incidence and mortality; population; community health indicators; health behavior data south carolina residents represented in public health, vital statistics, population, and selected health indicator tables south carolina zip/zcta zip/zcta high 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 south carolina public health surveillance; county and zip-level vital statistics analyses; maternal and child health monitoring; mortality trend analyses; community health assessment; local health planning; public health mapping and dashboard exploration sc dph public health data; sc vital statistics; south carolina cancer registry; brfss; acs; cdc places; cdc wonder; county health rankings interactive table/map system rather than a clean bulk-download research dataset; dataset availability, years, variables, and geographies vary by module; some datasets may be disabled or unavailable; website is a little old and may be unpredictable in terms of usability open/public interactive query system with confidentiality rules applied; users can generate tables, charts, maps, and downloadable/copyable outputs; password-protected access exists for users authorized to access data without confidentiality rules.</v>
      </c>
    </row>
    <row r="58" spans="1:36" ht="409.5" customHeight="1">
      <c r="A58" s="1" t="s">
        <v>965</v>
      </c>
      <c r="B58" s="1" t="s">
        <v>966</v>
      </c>
      <c r="C58" s="1" t="s">
        <v>967</v>
      </c>
      <c r="D58" s="1" t="s">
        <v>968</v>
      </c>
      <c r="E58" s="1" t="s">
        <v>969</v>
      </c>
      <c r="F58" s="1" t="s">
        <v>224</v>
      </c>
      <c r="G58" s="1" t="s">
        <v>455</v>
      </c>
      <c r="H58" s="1" t="s">
        <v>42</v>
      </c>
      <c r="I58" s="1" t="s">
        <v>436</v>
      </c>
      <c r="J58" s="1" t="s">
        <v>970</v>
      </c>
      <c r="K58" s="1" t="s">
        <v>971</v>
      </c>
      <c r="L58" s="1" t="s">
        <v>290</v>
      </c>
      <c r="M58" s="1" t="s">
        <v>972</v>
      </c>
      <c r="N58" s="1" t="s">
        <v>973</v>
      </c>
      <c r="O58" s="1" t="s">
        <v>942</v>
      </c>
      <c r="P58" s="1" t="s">
        <v>259</v>
      </c>
      <c r="Q58" s="1" t="s">
        <v>294</v>
      </c>
      <c r="R58" s="1" t="s">
        <v>974</v>
      </c>
      <c r="S58" s="1" t="s">
        <v>51</v>
      </c>
      <c r="T58" s="1" t="s">
        <v>129</v>
      </c>
      <c r="U58" s="1" t="s">
        <v>975</v>
      </c>
      <c r="V58" s="1" t="s">
        <v>976</v>
      </c>
      <c r="W58" s="1" t="s">
        <v>137</v>
      </c>
      <c r="X58" s="1" t="s">
        <v>42</v>
      </c>
      <c r="Y58" s="1" t="s">
        <v>977</v>
      </c>
      <c r="Z58" s="1" t="s">
        <v>978</v>
      </c>
      <c r="AA58" s="1" t="s">
        <v>979</v>
      </c>
      <c r="AB58" s="1"/>
      <c r="AC58" s="1" t="s">
        <v>980</v>
      </c>
      <c r="AD58" s="1" t="s">
        <v>981</v>
      </c>
      <c r="AE58" s="1" t="s">
        <v>52</v>
      </c>
      <c r="AF58" s="5">
        <v>46190</v>
      </c>
      <c r="AG58" s="1" t="s">
        <v>117</v>
      </c>
      <c r="AH58" s="1" t="s">
        <v>137</v>
      </c>
      <c r="AI58" s="1" t="s">
        <v>982</v>
      </c>
      <c r="AJ58" s="1" t="str">
        <f t="shared" si="1"/>
        <v>scdhhs reports and statistics scdhhs data &amp; reports (scdhhs) south carolina medicaid enrollment and program reports open/public open plus controlled data claims/payment/provider south carolina/local data; medicaid; chip; healthy connections; enrollment; eligibility; managed care; providers; health care utilization; reports; dashboards; transparency south carolina; sc; scdhhs; medicaid; healthy connections; chip; enrollment; eligibility; managed care; providers; utilization; reports; statistics; dashboard; transparency; beneficiaries; health coverage reports/dashboard south carolina medicaid; healthy connections medicaid; medicaid enrollment; eligibility reviews; managed care; provider reporting; health care coverage; health care utilization; transparency reporting south carolina medicaid, chip, and healthy connections members, applicants, providers, and contracted organizations south carolina state report/dashboard high medicaid enrollment; eligibility review measures; member counts; healthy connections medicaid measures; chip-related measures; managed care information; provider-related measures; contracted organization reports; dashboard indicators; reporting period; south carolina statewide statistics south carolina medicaid enrollment monitoring; medicaid eligibility review tracking; health coverage transparency; state medicaid program reporting; managed care and provider reporting; local health policy context; dashboard-based public reporting scdhhs medicaid data requests; sc rfa health statistics and demographics; schealthdata.org; cms data; acs; cdc places; county health rankings open/public reports and dashboards; formal medicaid data requests may be required for nonpublic or person-level data; verify documentation, citation guidance, reporting period, and privacy/suppression rules. 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v>
      </c>
    </row>
    <row r="59" spans="1:36" ht="134.25" customHeight="1">
      <c r="A59" s="1" t="s">
        <v>983</v>
      </c>
      <c r="B59" s="1" t="s">
        <v>984</v>
      </c>
      <c r="C59" s="1" t="s">
        <v>985</v>
      </c>
      <c r="D59" s="1" t="s">
        <v>986</v>
      </c>
      <c r="E59" s="1" t="s">
        <v>987</v>
      </c>
      <c r="F59" s="1" t="s">
        <v>224</v>
      </c>
      <c r="G59" s="1" t="s">
        <v>129</v>
      </c>
      <c r="H59" s="1" t="s">
        <v>42</v>
      </c>
      <c r="I59" s="1" t="s">
        <v>436</v>
      </c>
      <c r="J59" s="1" t="s">
        <v>988</v>
      </c>
      <c r="K59" s="1" t="s">
        <v>989</v>
      </c>
      <c r="L59" s="1" t="s">
        <v>49</v>
      </c>
      <c r="M59" s="1" t="s">
        <v>990</v>
      </c>
      <c r="N59" s="1" t="s">
        <v>991</v>
      </c>
      <c r="O59" s="1" t="s">
        <v>942</v>
      </c>
      <c r="P59" s="1" t="s">
        <v>815</v>
      </c>
      <c r="Q59" s="1" t="s">
        <v>815</v>
      </c>
      <c r="R59" s="1" t="s">
        <v>52</v>
      </c>
      <c r="S59" s="1" t="s">
        <v>51</v>
      </c>
      <c r="T59" s="1" t="s">
        <v>129</v>
      </c>
      <c r="U59" s="1" t="s">
        <v>992</v>
      </c>
      <c r="V59" s="1" t="s">
        <v>993</v>
      </c>
      <c r="W59" s="1" t="s">
        <v>129</v>
      </c>
      <c r="X59" s="1" t="s">
        <v>42</v>
      </c>
      <c r="Y59" s="1" t="s">
        <v>994</v>
      </c>
      <c r="Z59" s="7" t="s">
        <v>995</v>
      </c>
      <c r="AA59" s="1" t="s">
        <v>996</v>
      </c>
      <c r="AB59" s="1" t="s">
        <v>997</v>
      </c>
      <c r="AC59" s="1" t="s">
        <v>998</v>
      </c>
      <c r="AD59" s="1"/>
      <c r="AE59" s="1" t="s">
        <v>52</v>
      </c>
      <c r="AF59" s="5">
        <v>46190</v>
      </c>
      <c r="AG59" s="1" t="s">
        <v>117</v>
      </c>
      <c r="AH59" s="1" t="s">
        <v>137</v>
      </c>
      <c r="AI59" s="1" t="s">
        <v>982</v>
      </c>
      <c r="AJ59" s="1" t="str">
        <f t="shared" si="1"/>
        <v>sc health data schealthdata.org (schealthdata.org) south carolina hospitals, fqhcs, nursing homes, health care provider transparency data open/public unknown claims/payment/provider south carolina/local data; medicaid; health care providers; hospitals; fqhcs; nursing homes; provider transparency; health care utilization; financial measures south carolina; sc; medicaid; healthy connections; providers; hospitals; fqhc; nursing homes; profitability; patient visits; provider pay; transparency; scdhhs; health care data; utilization; local health data other south carolina health care providers; medicaid; hospitals; fqhcs; nursing homes; provider transparency; health care utilization; financial performance; patient visits; executive compensation south carolina health care providers, including hospitals, fqhcs, and nursing homes south carolina facility/provider facility/provider high provider type; hospital measures; fqhc measures; nursing home measures; patient visits; profitability; financial indicators; staff compensation; medicaid-related provider information; facility/provider characteristics; south carolina provider transparency measures south carolina health care provider transparency; hospital, fqhc, and nursing home comparisons; medicaid provider landscape analyses; patient visit and utilization summaries; financial performance analyses; local health care access and provider capacity research scdhhs medicaid data; sc hospital discharge data; cms care compare; acs; county health rankings; cdc places no clear bulk data download portal found; provider-focused transparency information may vary by source and provider type; verify available datasets, measure definitions, and reporting years before analysis. open/public provider transparency source maintained by scdhhs; verify source documentation, reporting year, partner agency attribution, and citation guidance.</v>
      </c>
    </row>
    <row r="60" spans="1:36" ht="28.5" customHeight="1">
      <c r="A60" s="1" t="s">
        <v>999</v>
      </c>
      <c r="B60" s="9" t="s">
        <v>1000</v>
      </c>
      <c r="C60" s="1"/>
      <c r="D60" s="1" t="s">
        <v>1001</v>
      </c>
      <c r="E60" s="1"/>
      <c r="F60" s="1" t="s">
        <v>224</v>
      </c>
      <c r="G60" s="1"/>
      <c r="H60" s="1"/>
      <c r="I60" s="1"/>
      <c r="J60" s="1"/>
      <c r="K60" s="1"/>
      <c r="L60" s="1"/>
      <c r="M60" s="1"/>
      <c r="N60" s="1"/>
      <c r="O60" s="1"/>
      <c r="P60" s="1"/>
      <c r="Q60" s="1"/>
      <c r="R60" s="1"/>
      <c r="S60" s="1"/>
      <c r="T60" s="1"/>
      <c r="U60" s="1"/>
      <c r="V60" s="1"/>
      <c r="W60" s="1"/>
      <c r="X60" s="1"/>
      <c r="Y60" s="1"/>
      <c r="Z60" s="7"/>
      <c r="AA60" s="1"/>
      <c r="AB60" s="1"/>
      <c r="AC60" s="1"/>
      <c r="AD60" s="1"/>
      <c r="AE60" s="1"/>
      <c r="AF60" s="5"/>
      <c r="AG60" s="1"/>
      <c r="AH60" s="1"/>
      <c r="AI60" s="1"/>
      <c r="AJ60" s="1" t="str">
        <f t="shared" si="1"/>
        <v>cdc ephtrackr r package / tracking api open/public</v>
      </c>
    </row>
    <row r="61" spans="1:36" ht="42.75" customHeight="1">
      <c r="A61" s="1" t="s">
        <v>1002</v>
      </c>
      <c r="B61" s="1" t="s">
        <v>1003</v>
      </c>
      <c r="C61" s="1"/>
      <c r="D61" s="1" t="s">
        <v>1004</v>
      </c>
      <c r="E61" s="1"/>
      <c r="F61" s="1" t="s">
        <v>224</v>
      </c>
      <c r="G61" s="1"/>
      <c r="H61" s="1"/>
      <c r="I61" s="1"/>
      <c r="J61" s="1"/>
      <c r="K61" s="1"/>
      <c r="L61" s="1"/>
      <c r="M61" s="1"/>
      <c r="N61" s="1"/>
      <c r="O61" s="1"/>
      <c r="P61" s="1"/>
      <c r="Q61" s="1"/>
      <c r="R61" s="1"/>
      <c r="S61" s="1"/>
      <c r="T61" s="1"/>
      <c r="U61" s="1"/>
      <c r="V61" s="1"/>
      <c r="W61" s="1"/>
      <c r="X61" s="1"/>
      <c r="Y61" s="1"/>
      <c r="Z61" s="7"/>
      <c r="AA61" s="1"/>
      <c r="AB61" s="1"/>
      <c r="AC61" s="1"/>
      <c r="AD61" s="1"/>
      <c r="AE61" s="1"/>
      <c r="AF61" s="5"/>
      <c r="AG61" s="1"/>
      <c r="AH61" s="1"/>
      <c r="AI61" s="1"/>
      <c r="AJ61" s="1" t="str">
        <f t="shared" si="1"/>
        <v>daily census tract-level pm2.5 concentrations, 2016-2020 open/public</v>
      </c>
    </row>
    <row r="62" spans="1:36" ht="42.75" customHeight="1">
      <c r="A62" s="1" t="s">
        <v>1005</v>
      </c>
      <c r="B62" s="8" t="s">
        <v>1006</v>
      </c>
      <c r="C62" s="3"/>
      <c r="D62" s="4" t="s">
        <v>1007</v>
      </c>
      <c r="E62" s="8" t="s">
        <v>1008</v>
      </c>
      <c r="F62" s="3" t="s">
        <v>224</v>
      </c>
      <c r="G62" s="3"/>
      <c r="H62" s="3"/>
      <c r="I62" s="3"/>
      <c r="J62" s="3"/>
      <c r="K62" s="3"/>
      <c r="L62" s="3"/>
      <c r="M62" s="3"/>
      <c r="N62" s="3"/>
      <c r="O62" s="3"/>
      <c r="Q62" s="3"/>
      <c r="R62" s="3"/>
      <c r="S62" s="3"/>
      <c r="T62" s="3"/>
      <c r="U62" s="1"/>
      <c r="V62" s="3"/>
      <c r="W62" s="3"/>
      <c r="X62" s="3"/>
      <c r="Y62" s="3"/>
      <c r="Z62" s="3"/>
      <c r="AA62" s="3"/>
      <c r="AB62" s="3"/>
      <c r="AC62" s="3"/>
      <c r="AD62" s="3"/>
      <c r="AE62" s="3"/>
      <c r="AF62" s="3"/>
      <c r="AG62" s="3"/>
      <c r="AH62" s="3"/>
      <c r="AI62" s="3"/>
      <c r="AJ62" s="3" t="str">
        <f t="shared" si="1"/>
        <v>epa enviroatlas geospatial environmental, demographic, ecosystem services, land cover, green space, heat, and community indicators. open/public</v>
      </c>
    </row>
    <row r="63" spans="1:36" ht="111" customHeight="1">
      <c r="A63" s="1" t="s">
        <v>1009</v>
      </c>
      <c r="B63" s="9" t="s">
        <v>1010</v>
      </c>
      <c r="C63" s="3" t="s">
        <v>1011</v>
      </c>
      <c r="D63" s="1"/>
      <c r="E63" s="9" t="s">
        <v>1012</v>
      </c>
      <c r="F63" s="1" t="s">
        <v>224</v>
      </c>
      <c r="G63" s="3" t="s">
        <v>224</v>
      </c>
      <c r="H63" s="3" t="s">
        <v>137</v>
      </c>
      <c r="I63" s="3" t="s">
        <v>810</v>
      </c>
      <c r="J63" s="1" t="s">
        <v>1013</v>
      </c>
      <c r="K63" s="1" t="s">
        <v>1014</v>
      </c>
      <c r="L63" s="3" t="s">
        <v>795</v>
      </c>
      <c r="M63" s="1" t="s">
        <v>1015</v>
      </c>
      <c r="N63" s="1" t="s">
        <v>1016</v>
      </c>
      <c r="O63" s="3" t="s">
        <v>48</v>
      </c>
      <c r="P63" s="3" t="s">
        <v>293</v>
      </c>
      <c r="Q63" s="3" t="s">
        <v>293</v>
      </c>
      <c r="R63" s="3" t="s">
        <v>52</v>
      </c>
      <c r="S63" s="3" t="s">
        <v>51</v>
      </c>
      <c r="T63" s="3" t="s">
        <v>51</v>
      </c>
      <c r="U63" s="1" t="s">
        <v>1017</v>
      </c>
      <c r="V63" s="1" t="s">
        <v>1018</v>
      </c>
      <c r="W63" s="3" t="s">
        <v>42</v>
      </c>
      <c r="X63" s="3" t="s">
        <v>42</v>
      </c>
      <c r="Y63" s="1" t="s">
        <v>1019</v>
      </c>
      <c r="Z63" s="1" t="s">
        <v>1020</v>
      </c>
      <c r="AA63" s="1" t="s">
        <v>1021</v>
      </c>
      <c r="AB63" s="1" t="s">
        <v>1022</v>
      </c>
      <c r="AC63" s="1" t="s">
        <v>1023</v>
      </c>
      <c r="AD63" s="1"/>
      <c r="AE63" s="3" t="s">
        <v>60</v>
      </c>
      <c r="AF63" s="11">
        <v>46223</v>
      </c>
      <c r="AG63" s="3" t="s">
        <v>117</v>
      </c>
      <c r="AH63" s="3" t="s">
        <v>62</v>
      </c>
      <c r="AI63" s="3" t="s">
        <v>63</v>
      </c>
      <c r="AJ63" s="1" t="str">
        <f t="shared" si="1"/>
        <v>cdc wonder environmental data cdc / github environmental data query system with place, time, and measure dimensions. open/public open/public environmental exposure sdoh/geospatial; climate; air quality; environmental monitoring; area-level data; historical data 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 environmental air temperature; heat index; extreme heat; heat waves; pm2.5; outdoor air quality; land surface temperature; sunlight; solar irradiation; precipitation residents of the 48 contiguous united states, represented through county-level environmental exposure measures united states county county high daily air temperature; minimum and maximum temperature; heat index; degree days; pm2.5 concentration; land surface temperature; sunlight/solar irradiation; precipitation; heat-wave days; date; state; county; number of observations; range; standard deviation 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 cdc wonder mortality and natality data; cdc environmental public health tracking network; epa air quality system/airdata; epa enviroatlas; noaa climate data; u.s. census population estimates; american community survey; cdc/atsdr social vulnerability index 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 public aggregate data for statistical reporting and analysis; users must accept cdc wonder data-use restrictions; do not attempt to identify individuals or link data for re-identification; cite the relevant source dataset and methodology when publishing results.</v>
      </c>
    </row>
    <row r="64" spans="1:36" ht="57" customHeight="1">
      <c r="A64" s="1" t="s">
        <v>1024</v>
      </c>
      <c r="B64" s="8" t="s">
        <v>1025</v>
      </c>
      <c r="C64" s="3" t="s">
        <v>1026</v>
      </c>
      <c r="D64" s="1"/>
      <c r="E64" s="1" t="s">
        <v>1027</v>
      </c>
      <c r="F64" s="3" t="s">
        <v>1028</v>
      </c>
      <c r="G64" s="3" t="s">
        <v>224</v>
      </c>
      <c r="H64" s="3" t="s">
        <v>137</v>
      </c>
      <c r="I64" s="3" t="s">
        <v>810</v>
      </c>
      <c r="J64" t="s">
        <v>1029</v>
      </c>
      <c r="K64" t="s">
        <v>1030</v>
      </c>
      <c r="L64" t="s">
        <v>290</v>
      </c>
      <c r="M64" t="s">
        <v>1031</v>
      </c>
      <c r="N64" t="s">
        <v>1032</v>
      </c>
      <c r="O64" s="3" t="s">
        <v>48</v>
      </c>
      <c r="P64" s="3" t="s">
        <v>1033</v>
      </c>
      <c r="Q64" s="3" t="s">
        <v>293</v>
      </c>
      <c r="R64" s="3" t="s">
        <v>52</v>
      </c>
      <c r="S64" s="3" t="s">
        <v>51</v>
      </c>
      <c r="T64" s="3" t="s">
        <v>51</v>
      </c>
      <c r="U64" s="1" t="s">
        <v>1034</v>
      </c>
      <c r="V64" s="3" t="s">
        <v>1035</v>
      </c>
      <c r="W64" s="3" t="s">
        <v>42</v>
      </c>
      <c r="X64" s="3" t="s">
        <v>42</v>
      </c>
      <c r="Y64" s="3" t="s">
        <v>1036</v>
      </c>
      <c r="Z64" s="3" t="s">
        <v>1037</v>
      </c>
      <c r="AA64" s="3" t="s">
        <v>1038</v>
      </c>
      <c r="AB64" s="3" t="s">
        <v>1039</v>
      </c>
      <c r="AC64" s="3" t="s">
        <v>1040</v>
      </c>
      <c r="AD64" s="3"/>
      <c r="AE64" s="3" t="s">
        <v>51</v>
      </c>
      <c r="AF64" s="11">
        <v>46223</v>
      </c>
      <c r="AG64" s="3" t="s">
        <v>117</v>
      </c>
      <c r="AH64" s="3" t="s">
        <v>42</v>
      </c>
      <c r="AI64" s="3" t="s">
        <v>63</v>
      </c>
      <c r="AJ64" s="3" t="str">
        <f t="shared" si="1"/>
        <v>cdc heat and health tracker cdc tracking network interactive dashboard integrating local heat exposure, heat-related health outcomes, community vulnerability, and preparedness information to support extreme-heat surveillance, planning, and response. public interactive dashboard; related tracking network data may also be accessed through maps, tables, quick reports, downloads, and api services. open/public environmental exposure climate; extreme heat; heat-related illness; sdoh/geospatial; emergency preparedness; environmental health surveillance; community vulnerability; area-level data 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 reports/dashboard extreme heat; heat exposure; temperature; heat index; heatrisk forecasts; heat-related emergency department visits; heat-related hospitalizations; heat-related mortality; heat vulnerability; climate projections; community preparedness residents of the united states, including populations vulnerable to heat-related health effects such as older adults, young children, pregnant people, outdoor workers, athletes, and people with chronic health conditions. united states county/zip code/hhs region, depending on indicator county high 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 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 cdc environmental public health tracking network; national syndromic surveillance program; national weather service heatrisk; cdc heat and health index; cdc/atsdr social vulnerability index; noaa climate data; american community survey; cdc wonder mortality data; epa airnow 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 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v>
      </c>
    </row>
    <row r="65" spans="1:36" ht="71.25" customHeight="1">
      <c r="A65" s="1" t="s">
        <v>1041</v>
      </c>
      <c r="B65" s="9" t="s">
        <v>1042</v>
      </c>
      <c r="C65" s="3" t="s">
        <v>284</v>
      </c>
      <c r="D65" s="15" t="s">
        <v>1043</v>
      </c>
      <c r="E65" s="1" t="s">
        <v>1044</v>
      </c>
      <c r="F65" s="3" t="s">
        <v>1045</v>
      </c>
      <c r="G65" s="3" t="s">
        <v>224</v>
      </c>
      <c r="H65" s="3" t="s">
        <v>137</v>
      </c>
      <c r="I65" s="3" t="s">
        <v>339</v>
      </c>
      <c r="J65" s="3" t="s">
        <v>1046</v>
      </c>
      <c r="K65" s="3" t="s">
        <v>1047</v>
      </c>
      <c r="L65" s="3" t="s">
        <v>323</v>
      </c>
      <c r="M65" s="3" t="s">
        <v>1048</v>
      </c>
      <c r="N65" s="3" t="s">
        <v>1049</v>
      </c>
      <c r="O65" s="3" t="s">
        <v>48</v>
      </c>
      <c r="P65" s="3" t="s">
        <v>326</v>
      </c>
      <c r="Q65" s="3" t="s">
        <v>327</v>
      </c>
      <c r="R65" s="3" t="s">
        <v>52</v>
      </c>
      <c r="S65" s="3" t="s">
        <v>51</v>
      </c>
      <c r="T65" s="3" t="s">
        <v>52</v>
      </c>
      <c r="U65" s="1" t="s">
        <v>1050</v>
      </c>
      <c r="V65" s="3" t="s">
        <v>1051</v>
      </c>
      <c r="W65" s="3" t="s">
        <v>42</v>
      </c>
      <c r="X65" s="3" t="s">
        <v>42</v>
      </c>
      <c r="Y65" s="3" t="s">
        <v>1052</v>
      </c>
      <c r="Z65" s="3" t="s">
        <v>1053</v>
      </c>
      <c r="AA65" s="3" t="s">
        <v>1054</v>
      </c>
      <c r="AB65" s="3" t="s">
        <v>1055</v>
      </c>
      <c r="AC65" s="3" t="s">
        <v>1056</v>
      </c>
      <c r="AD65" s="3"/>
      <c r="AE65" s="3" t="s">
        <v>51</v>
      </c>
      <c r="AF65" s="11">
        <v>46223</v>
      </c>
      <c r="AG65" s="3" t="s">
        <v>1057</v>
      </c>
      <c r="AH65" s="3" t="s">
        <v>42</v>
      </c>
      <c r="AI65" s="3" t="s">
        <v>63</v>
      </c>
      <c r="AJ65" s="3" t="str">
        <f t="shared" si="1"/>
        <v>cdc/atsdr environmental justice index (eji) cdc wonder national census-tract-level index for identifying communities experiencing cumulative environmental, social, and health burdens and supporting environmental justice, health equity, resource allocation, and place-based public health research. public interactive map and downloadable census-tract data in csv, excel, and geodatabase formats open/public sdoh/geospatial environmental exposure; health equity; environmental justice; social vulnerability; community vulnerability; climate; built environment; area-level data; health disparities 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 geospatial/area-level 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 residents of census tracts in the continental united states, represented through community-level environmental, social, health, and climate indicators united states census tract census tract high 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 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 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 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 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v>
      </c>
    </row>
    <row r="66" spans="1:36" ht="15">
      <c r="A66" s="1" t="s">
        <v>1058</v>
      </c>
      <c r="B66" s="8" t="s">
        <v>1006</v>
      </c>
      <c r="C66" s="3" t="s">
        <v>1059</v>
      </c>
      <c r="D66" s="1"/>
      <c r="E66" s="1"/>
      <c r="F66" s="3"/>
      <c r="G66" s="3"/>
      <c r="I66" s="3"/>
      <c r="J66" s="3"/>
      <c r="K66" s="3"/>
      <c r="L66" s="3"/>
      <c r="M66" s="3"/>
      <c r="N66" s="3"/>
      <c r="O66" s="3"/>
      <c r="Q66" s="3"/>
      <c r="R66" s="3"/>
      <c r="S66" s="3"/>
      <c r="T66" s="3"/>
      <c r="U66" s="1"/>
      <c r="V66" s="3"/>
      <c r="W66" s="3"/>
      <c r="X66" s="3"/>
      <c r="Y66" s="3"/>
      <c r="Z66" s="3"/>
      <c r="AA66" s="3"/>
      <c r="AB66" s="3"/>
      <c r="AC66" s="3"/>
      <c r="AD66" s="3"/>
      <c r="AE66" s="3"/>
      <c r="AF66" s="3"/>
      <c r="AG66" s="3"/>
      <c r="AH66" s="3"/>
      <c r="AI66" s="3"/>
      <c r="AJ66" s="3" t="str">
        <f t="shared" ref="AJ66:AJ76" si="2">LOWER(_xlfn.SINGLE(_xlfn.TEXTJOIN(" ", TRUE, B66, C66, E66, F66, G66, I66, J66, K66, L66, M66, N66, O66, P66, Q66, X66, Y66, Z66, AA66, AB66, AC66, AD66)))</f>
        <v>epa enviroatlas cdc</v>
      </c>
    </row>
    <row r="67" spans="1:36" ht="85.5" customHeight="1">
      <c r="A67" s="1" t="s">
        <v>1060</v>
      </c>
      <c r="B67" s="9" t="s">
        <v>1061</v>
      </c>
      <c r="C67" s="3"/>
      <c r="D67" s="1"/>
      <c r="E67" s="1" t="s">
        <v>1062</v>
      </c>
      <c r="F67" s="3" t="s">
        <v>1063</v>
      </c>
      <c r="G67" s="3" t="s">
        <v>224</v>
      </c>
      <c r="H67" s="3" t="s">
        <v>137</v>
      </c>
      <c r="I67" s="3" t="s">
        <v>810</v>
      </c>
      <c r="J67" s="3" t="s">
        <v>1064</v>
      </c>
      <c r="K67" s="3" t="s">
        <v>1065</v>
      </c>
      <c r="L67" s="3" t="s">
        <v>323</v>
      </c>
      <c r="M67" s="3" t="s">
        <v>1066</v>
      </c>
      <c r="N67" s="3" t="s">
        <v>1067</v>
      </c>
      <c r="O67" s="3" t="s">
        <v>48</v>
      </c>
      <c r="P67" s="10" t="s">
        <v>1068</v>
      </c>
      <c r="Q67" s="3" t="s">
        <v>49</v>
      </c>
      <c r="R67" s="3" t="s">
        <v>52</v>
      </c>
      <c r="S67" s="3" t="s">
        <v>51</v>
      </c>
      <c r="T67" s="3" t="s">
        <v>52</v>
      </c>
      <c r="U67" s="13" t="s">
        <v>1069</v>
      </c>
      <c r="V67" s="3" t="s">
        <v>423</v>
      </c>
      <c r="W67" s="3" t="s">
        <v>42</v>
      </c>
      <c r="X67" s="3" t="s">
        <v>42</v>
      </c>
      <c r="Y67" s="3" t="s">
        <v>1070</v>
      </c>
      <c r="Z67" s="3" t="s">
        <v>1071</v>
      </c>
      <c r="AA67" s="3" t="s">
        <v>1072</v>
      </c>
      <c r="AB67" s="3" t="s">
        <v>1073</v>
      </c>
      <c r="AC67" s="3" t="s">
        <v>1074</v>
      </c>
      <c r="AD67" s="3"/>
      <c r="AE67" s="3" t="s">
        <v>51</v>
      </c>
      <c r="AF67" s="11">
        <v>46223</v>
      </c>
      <c r="AG67" s="3" t="s">
        <v>117</v>
      </c>
      <c r="AH67" s="3" t="s">
        <v>42</v>
      </c>
      <c r="AI67" s="3" t="s">
        <v>63</v>
      </c>
      <c r="AJ67" s="3" t="str">
        <f t="shared" si="2"/>
        <v>epa ejscreen environmental justice screening and mapping tool combining nationally consistent environmental burden, socioeconomic, demographic, health-disparity, climate, and service-gap indicators to identify communities that may warrant additional analysis, outreach, or public-health attention. public mapping and screening tool with publicly available technical documentation and area-level results; availability of the original interactive application and bulk downloads should be verified for the intended analysis. open/public environmental exposure sdoh/geospatial; environmental justice; social vulnerability; health equity; air pollution; hazardous sites; drinking water; built environment; health disparities; climate; area-level data epa ejscreen; ejscreen; environmental justice; ej index; supplemental index; demographic index; environmental burden; pollution burden; socioeconomic vulnerability; census block group; pm2.5; ozone; nitrogen dioxide; diesel particulate matter; toxic releases; traffic proximity; lead paint; superfund; hazardous waste; rmp facilities; underground storage tanks; wastewater discharge; drinking water non-compliance; health disparities; climate change; critical service gaps; hiv disparities geospatial/area-level environmental justice; pm2.5; ozone; nitrogen dioxide; diesel particulate matter; toxic releases to air; traffic exposure; lead-paint exposure; superfund sites; chemical-accident facilities; hazardous-waste facilities; underground storage tanks; wastewater pollution; drinking-water non-compliance; socioeconomic vulnerability; health disparities; climate hazards; service gaps residents of the united states and included u.s. territories, represented through community-level environmental, socioeconomic, demographic, and health indicators united states census block group other high pm2.5; ozone; nitrogen dioxide; diesel particulate matter; toxic releases to air; traffic proximity and volume; lead-paint proxy; superfund proximity; risk management plan facility proximity; hazardous-waste proximity; underground and leaking underground storage tanks; wastewater discharge; drinking-water non-compliance; demographic index; supplemental demographic index; ej index percentiles; supplemental index percentiles; state and national percentiles identify communities with elevated environmental and socioeconomic burdens; characterize neighborhood context for hiv diagnoses and care outcomes; examine geographic disparities in testing, linkage to care, retention, and viral suppression; prioritize outreach, mobile services, prevention, and community engagement; assess environmental burden near health-service locations; compare south carolina communities using state and national percentiles; generate hypotheses for detailed exposure or health-equity studies cdc/atsdr environmental justice index; cdc/atsdr social vulnerability index; american community survey; epa airdata/aqs; epa toxics release inventory; epa envirofacts; epa superfund data; cdc places; nchhstp atlasplus; aidsvu; cdc national hiv surveillance system; ryan white hiv/aids program data; south carolina hiv surveillance data; census tiger/line shapefiles screening-level tool rather than a risk assessment or designation of an environmental justice community. percentiles are relative rankings and do not establish health or legal thresholds. some block-group values are inherited or modeled from tract-level or gridded source data. proximity scores are population-weighted proxies based on inverse distance and do not represent measured individual exposure. source years and methods vary by indicator. high percentiles indicate relative rarity, not necessarily elevated health risk. public aggregate area-level information with no identifiable individual records. linking ejscreen to geocoded hiv surveillance, clinical, or ryan white data requires compliance with the confidentiality, suppression, irb, and data-use requirements of the health dataset. avoid publishing small-area hiv results that could permit indirect identification. do not assign block-group characteristics to individuals as though they were personally measured exposures or attributes.</v>
      </c>
    </row>
    <row r="68" spans="1:36" ht="99.75" customHeight="1">
      <c r="A68" s="1" t="s">
        <v>1075</v>
      </c>
      <c r="B68" s="8" t="s">
        <v>1076</v>
      </c>
      <c r="C68" s="3" t="s">
        <v>1077</v>
      </c>
      <c r="D68" s="1"/>
      <c r="E68" s="1" t="s">
        <v>1078</v>
      </c>
      <c r="F68" s="3" t="s">
        <v>1079</v>
      </c>
      <c r="G68" s="3" t="s">
        <v>224</v>
      </c>
      <c r="H68" s="3" t="s">
        <v>137</v>
      </c>
      <c r="I68" s="3" t="s">
        <v>810</v>
      </c>
      <c r="J68" s="3" t="s">
        <v>1080</v>
      </c>
      <c r="K68" s="3" t="s">
        <v>1081</v>
      </c>
      <c r="L68" s="3" t="s">
        <v>795</v>
      </c>
      <c r="M68" s="3" t="s">
        <v>1082</v>
      </c>
      <c r="N68" s="3" t="s">
        <v>1083</v>
      </c>
      <c r="O68" s="3" t="s">
        <v>48</v>
      </c>
      <c r="P68" s="3" t="s">
        <v>1084</v>
      </c>
      <c r="Q68" s="3" t="s">
        <v>49</v>
      </c>
      <c r="R68" s="3" t="s">
        <v>52</v>
      </c>
      <c r="S68" s="3" t="s">
        <v>51</v>
      </c>
      <c r="T68" s="3" t="s">
        <v>51</v>
      </c>
      <c r="U68" s="1" t="s">
        <v>1085</v>
      </c>
      <c r="V68" s="3" t="s">
        <v>1086</v>
      </c>
      <c r="W68" s="3" t="s">
        <v>42</v>
      </c>
      <c r="X68" s="3" t="s">
        <v>42</v>
      </c>
      <c r="Y68" t="s">
        <v>1087</v>
      </c>
      <c r="Z68" s="3" t="s">
        <v>1088</v>
      </c>
      <c r="AA68" s="3" t="s">
        <v>1089</v>
      </c>
      <c r="AB68" s="3" t="s">
        <v>1090</v>
      </c>
      <c r="AC68" s="3" t="s">
        <v>1091</v>
      </c>
      <c r="AD68" s="3"/>
      <c r="AE68" s="3" t="s">
        <v>51</v>
      </c>
      <c r="AF68" s="11">
        <v>46223</v>
      </c>
      <c r="AG68" s="3" t="s">
        <v>117</v>
      </c>
      <c r="AH68" s="3" t="s">
        <v>42</v>
      </c>
      <c r="AI68" s="3" t="s">
        <v>63</v>
      </c>
      <c r="AJ68" s="3" t="str">
        <f t="shared" si="2"/>
        <v>epa airdata epa public portal for downloading, querying, mapping, visualizing, and summarizing recent and historical ambient air-quality measurements collected at outdoor monitoring sites across the united states. public web reports, visualizations, maps, downloadable files, and api access; an api key is required for customized aqs api queries. open/public environmental exposure air quality; environmental monitoring; sdoh/geospatial; ambient air pollution; exposure assessment; regulatory monitoring; area-level data; time-series data 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 environmental ambient air quality; pm2.5; pm10; ozone; nitrogen dioxide; sulfur dioxide; carbon monoxide; lead; air toxics; hazardous air pollutants; particle speciation; air quality index; meteorology; regulatory monitoring residents and populations living near covered outdoor air-monitoring locations in the united states, puerto rico, and the u.s. virgin islands united states monitoring site; county; city/cbsa; state other high 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 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 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 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 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v>
      </c>
    </row>
    <row r="69" spans="1:36" ht="42.75" customHeight="1">
      <c r="A69" s="1" t="s">
        <v>1092</v>
      </c>
      <c r="B69" s="9" t="s">
        <v>1093</v>
      </c>
      <c r="C69" s="3" t="s">
        <v>1094</v>
      </c>
      <c r="D69" s="1" t="s">
        <v>1095</v>
      </c>
      <c r="E69" s="14" t="s">
        <v>1096</v>
      </c>
      <c r="F69" s="3" t="s">
        <v>1095</v>
      </c>
      <c r="G69" s="3" t="s">
        <v>1095</v>
      </c>
      <c r="H69" s="3" t="s">
        <v>1095</v>
      </c>
      <c r="I69" s="3" t="s">
        <v>1095</v>
      </c>
      <c r="J69" s="3"/>
      <c r="K69" s="3"/>
      <c r="L69" s="3"/>
      <c r="M69" s="3"/>
      <c r="N69" s="3"/>
      <c r="O69" s="3"/>
      <c r="Q69" s="3"/>
      <c r="R69" s="3"/>
      <c r="S69" s="3"/>
      <c r="T69" s="3"/>
      <c r="U69" s="1"/>
      <c r="V69" s="3"/>
      <c r="W69" s="3"/>
      <c r="X69" s="3"/>
      <c r="Y69" s="3"/>
      <c r="Z69" s="3"/>
      <c r="AA69" s="3"/>
      <c r="AB69" s="3"/>
      <c r="AC69" s="3"/>
      <c r="AD69" s="3"/>
      <c r="AE69" s="3" t="s">
        <v>52</v>
      </c>
      <c r="AF69" s="11">
        <v>46223</v>
      </c>
      <c r="AG69" s="3" t="s">
        <v>117</v>
      </c>
      <c r="AH69" s="3" t="s">
        <v>137</v>
      </c>
      <c r="AI69" s="3" t="s">
        <v>1097</v>
      </c>
      <c r="AJ69" s="3" t="str">
        <f t="shared" si="2"/>
        <v>epa aqs api epa / arcgis / data.gov programmatic access method for customized retrieval of data from epa’s air quality system, the same underlying monitoring repository represented by epa airdata. same as epa airdata same as epa airdata same as epa airdata</v>
      </c>
    </row>
    <row r="70" spans="1:36" ht="99.75" customHeight="1">
      <c r="A70" s="1" t="s">
        <v>1098</v>
      </c>
      <c r="B70" s="8" t="s">
        <v>1099</v>
      </c>
      <c r="C70" s="3" t="s">
        <v>1077</v>
      </c>
      <c r="D70" s="1"/>
      <c r="E70" s="1" t="s">
        <v>1100</v>
      </c>
      <c r="F70" s="3" t="s">
        <v>1101</v>
      </c>
      <c r="G70" s="3" t="s">
        <v>224</v>
      </c>
      <c r="H70" s="3" t="s">
        <v>137</v>
      </c>
      <c r="I70" s="3" t="s">
        <v>810</v>
      </c>
      <c r="J70" s="3" t="s">
        <v>1102</v>
      </c>
      <c r="K70" s="3" t="s">
        <v>1103</v>
      </c>
      <c r="L70" s="3" t="s">
        <v>795</v>
      </c>
      <c r="M70" s="3" t="s">
        <v>1104</v>
      </c>
      <c r="N70" s="3" t="s">
        <v>1105</v>
      </c>
      <c r="O70" s="3" t="s">
        <v>48</v>
      </c>
      <c r="P70" s="3" t="s">
        <v>1106</v>
      </c>
      <c r="Q70" s="3" t="s">
        <v>49</v>
      </c>
      <c r="R70" s="3" t="s">
        <v>52</v>
      </c>
      <c r="S70" s="3" t="s">
        <v>51</v>
      </c>
      <c r="T70" s="3" t="s">
        <v>52</v>
      </c>
      <c r="U70" s="1" t="s">
        <v>1107</v>
      </c>
      <c r="V70" s="3" t="s">
        <v>1108</v>
      </c>
      <c r="W70" s="3" t="s">
        <v>42</v>
      </c>
      <c r="X70" s="3" t="s">
        <v>42</v>
      </c>
      <c r="Y70" s="3" t="s">
        <v>1109</v>
      </c>
      <c r="Z70" s="3" t="s">
        <v>1110</v>
      </c>
      <c r="AA70" s="3" t="s">
        <v>1111</v>
      </c>
      <c r="AB70" s="3" t="s">
        <v>1112</v>
      </c>
      <c r="AC70" s="3" t="s">
        <v>1113</v>
      </c>
      <c r="AD70" s="3"/>
      <c r="AE70" s="3" t="s">
        <v>60</v>
      </c>
      <c r="AF70" s="11">
        <v>46223</v>
      </c>
      <c r="AG70" s="3" t="s">
        <v>117</v>
      </c>
      <c r="AH70" s="3" t="s">
        <v>62</v>
      </c>
      <c r="AI70" s="3" t="s">
        <v>63</v>
      </c>
      <c r="AJ70" s="3" t="str">
        <f t="shared" si="2"/>
        <v>epa airtoxscreen epa national screening assessment that models ambient concentrations, population exposures, lifetime cancer risks, and chronic noncancer hazards associated with hazardous air pollutants to help identify pollutants, emission sources, and locations that may warrant further study. public website, mapping tool, technical documentation, and downloadable national and state-level assessment files open/public environmental exposure air quality; air toxics; hazardous air pollutants; exposure modeling; cancer risk; health risk screening; environmental justice; sdoh/geospatial; area-level data 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 environmental hazardous air pollutants; air toxics; ambient concentrations; inhalation exposure; lifetime cancer risk; respiratory noncancer hazards; point-source emissions; mobile-source emissions; nonpoint emissions; wildfire and fire emissions; background pollution; environmental health disparities residents of the united states, represented through modeled population exposure to outdoor hazardous air pollutants at small-area geographic levels united states census block; census tract; county; state, depending on assessment year and output other high 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 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 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 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 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v>
      </c>
    </row>
    <row r="71" spans="1:36" ht="128.25" customHeight="1">
      <c r="A71" s="1" t="s">
        <v>1114</v>
      </c>
      <c r="B71" s="9" t="s">
        <v>1115</v>
      </c>
      <c r="C71" s="3" t="s">
        <v>1077</v>
      </c>
      <c r="D71" s="4" t="s">
        <v>1116</v>
      </c>
      <c r="E71" s="1" t="s">
        <v>1117</v>
      </c>
      <c r="F71" s="3" t="s">
        <v>1118</v>
      </c>
      <c r="G71" s="3" t="s">
        <v>224</v>
      </c>
      <c r="H71" s="3" t="s">
        <v>62</v>
      </c>
      <c r="I71" s="3" t="s">
        <v>810</v>
      </c>
      <c r="J71" s="3" t="s">
        <v>1119</v>
      </c>
      <c r="K71" s="3" t="s">
        <v>1120</v>
      </c>
      <c r="L71" s="3" t="s">
        <v>795</v>
      </c>
      <c r="M71" s="3" t="s">
        <v>1121</v>
      </c>
      <c r="N71" s="3" t="s">
        <v>1122</v>
      </c>
      <c r="O71" s="3" t="s">
        <v>48</v>
      </c>
      <c r="P71" s="3" t="s">
        <v>1123</v>
      </c>
      <c r="Q71" s="3" t="s">
        <v>49</v>
      </c>
      <c r="R71" s="3" t="s">
        <v>52</v>
      </c>
      <c r="S71" s="3" t="s">
        <v>51</v>
      </c>
      <c r="T71" s="3" t="s">
        <v>51</v>
      </c>
      <c r="U71" s="1" t="s">
        <v>1124</v>
      </c>
      <c r="V71" s="3" t="s">
        <v>1125</v>
      </c>
      <c r="W71" s="3" t="s">
        <v>42</v>
      </c>
      <c r="X71" s="3" t="s">
        <v>42</v>
      </c>
      <c r="Y71" s="3" t="s">
        <v>1126</v>
      </c>
      <c r="Z71" s="3" t="s">
        <v>1127</v>
      </c>
      <c r="AA71" s="3" t="s">
        <v>1128</v>
      </c>
      <c r="AB71" s="3" t="s">
        <v>1129</v>
      </c>
      <c r="AC71" s="3" t="s">
        <v>1130</v>
      </c>
      <c r="AD71" s="3"/>
      <c r="AE71" s="3" t="s">
        <v>60</v>
      </c>
      <c r="AF71" s="11">
        <v>46223</v>
      </c>
      <c r="AG71" s="3" t="s">
        <v>117</v>
      </c>
      <c r="AH71" s="3" t="s">
        <v>62</v>
      </c>
      <c r="AI71" s="3" t="s">
        <v>63</v>
      </c>
      <c r="AJ71" s="3" t="str">
        <f t="shared" si="2"/>
        <v>epa national emissions inventory (nei) epa 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 public webpages, downloadable inventory files, summaries, technical documentation, and online retrieval tools open/public environmental exposure air emissions; air quality; hazardous air pollutants; criteria pollutants; industrial facilities; mobile sources; fires; source inventory; environmental modeling; area-level data 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 environmental 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 residents of the united states and territories potentially affected by air emissions from inventoried sources united states facility; emission unit; county; tribal area; state, depending on source category and file other high 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 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 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 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 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v>
      </c>
    </row>
    <row r="72" spans="1:36" ht="57" customHeight="1">
      <c r="A72" s="1" t="s">
        <v>1131</v>
      </c>
      <c r="B72" s="8" t="s">
        <v>1132</v>
      </c>
      <c r="C72" s="3" t="s">
        <v>1077</v>
      </c>
      <c r="D72" s="4" t="s">
        <v>1133</v>
      </c>
      <c r="E72" s="1" t="s">
        <v>1134</v>
      </c>
      <c r="F72" s="3" t="s">
        <v>1135</v>
      </c>
      <c r="G72" s="3" t="s">
        <v>224</v>
      </c>
      <c r="H72" s="3" t="s">
        <v>137</v>
      </c>
      <c r="I72" s="3" t="s">
        <v>810</v>
      </c>
      <c r="J72" s="3" t="s">
        <v>1136</v>
      </c>
      <c r="K72" s="3" t="s">
        <v>1137</v>
      </c>
      <c r="L72" s="3" t="s">
        <v>795</v>
      </c>
      <c r="M72" s="3" t="s">
        <v>1138</v>
      </c>
      <c r="N72" s="3" t="s">
        <v>1139</v>
      </c>
      <c r="O72" s="3" t="s">
        <v>48</v>
      </c>
      <c r="P72" s="3" t="s">
        <v>1140</v>
      </c>
      <c r="Q72" s="3" t="s">
        <v>815</v>
      </c>
      <c r="R72" s="3" t="s">
        <v>52</v>
      </c>
      <c r="S72" s="3" t="s">
        <v>51</v>
      </c>
      <c r="T72" s="3" t="s">
        <v>51</v>
      </c>
      <c r="U72" s="1" t="s">
        <v>1141</v>
      </c>
      <c r="V72" s="3" t="s">
        <v>1142</v>
      </c>
      <c r="W72" s="3" t="s">
        <v>42</v>
      </c>
      <c r="X72" s="3" t="s">
        <v>42</v>
      </c>
      <c r="Y72" s="3" t="s">
        <v>1143</v>
      </c>
      <c r="Z72" s="3" t="s">
        <v>1144</v>
      </c>
      <c r="AA72" s="3" t="s">
        <v>1145</v>
      </c>
      <c r="AB72" s="3" t="s">
        <v>1146</v>
      </c>
      <c r="AC72" s="3" t="s">
        <v>1147</v>
      </c>
      <c r="AD72" s="3"/>
      <c r="AE72" s="3" t="s">
        <v>60</v>
      </c>
      <c r="AF72" s="11">
        <v>46223</v>
      </c>
      <c r="AG72" s="3" t="s">
        <v>117</v>
      </c>
      <c r="AH72" s="3" t="s">
        <v>42</v>
      </c>
      <c r="AI72" s="3" t="s">
        <v>63</v>
      </c>
      <c r="AJ72" s="3" t="str">
        <f t="shared" si="2"/>
        <v>epa toxics release inventory (tri) epa annual facility-level data on toxic chemical releases, waste management, off-site transfers, recycling, treatment, energy recovery, and pollution-prevention activities reported by covered industrial and federal facilities. public interactive tools, maps, reports, downloadable annual files, facility records, and envirofacts searches open/public environmental exposure industrial pollution; toxic chemicals; facility-level data; environmental justice; pollution prevention; air releases; water releases; land disposal; waste management; longitudinal data 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 environmental toxic chemical releases; industrial emissions; air pollution; surface-water discharges; underground injection; land disposal; off-site waste transfers; chemical recycling; energy recovery; treatment; pollution prevention; source reduction; facility environmental performance residents and communities potentially affected by toxic chemical releases and waste-management activities from covered industrial and federal facilities in the united states and territories united states facility; zip code; county; state; tribal area facility/provider high 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 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 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 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 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v>
      </c>
    </row>
    <row r="73" spans="1:36" ht="71.25" customHeight="1">
      <c r="A73" s="1" t="s">
        <v>1148</v>
      </c>
      <c r="B73" s="9" t="s">
        <v>1149</v>
      </c>
      <c r="C73" s="3" t="s">
        <v>1077</v>
      </c>
      <c r="D73" s="4" t="s">
        <v>1150</v>
      </c>
      <c r="E73" s="1" t="s">
        <v>1151</v>
      </c>
      <c r="F73" s="3" t="s">
        <v>1152</v>
      </c>
      <c r="G73" s="3" t="s">
        <v>224</v>
      </c>
      <c r="H73" s="3" t="s">
        <v>62</v>
      </c>
      <c r="I73" s="3" t="s">
        <v>810</v>
      </c>
      <c r="J73" s="3" t="s">
        <v>1153</v>
      </c>
      <c r="K73" s="3" t="s">
        <v>1154</v>
      </c>
      <c r="L73" s="3" t="s">
        <v>795</v>
      </c>
      <c r="M73" s="3" t="s">
        <v>1155</v>
      </c>
      <c r="N73" s="3" t="s">
        <v>1156</v>
      </c>
      <c r="O73" s="3" t="s">
        <v>48</v>
      </c>
      <c r="P73" s="3" t="s">
        <v>1157</v>
      </c>
      <c r="Q73" s="3" t="s">
        <v>49</v>
      </c>
      <c r="R73" s="3" t="s">
        <v>52</v>
      </c>
      <c r="S73" s="3" t="s">
        <v>51</v>
      </c>
      <c r="T73" s="3" t="s">
        <v>51</v>
      </c>
      <c r="U73" s="1" t="s">
        <v>1158</v>
      </c>
      <c r="V73" s="3" t="s">
        <v>1159</v>
      </c>
      <c r="W73" s="3" t="s">
        <v>42</v>
      </c>
      <c r="X73" s="3" t="s">
        <v>42</v>
      </c>
      <c r="Y73" s="3" t="s">
        <v>1160</v>
      </c>
      <c r="Z73" s="3" t="s">
        <v>1161</v>
      </c>
      <c r="AA73" s="3" t="s">
        <v>1162</v>
      </c>
      <c r="AB73" s="3" t="s">
        <v>1163</v>
      </c>
      <c r="AC73" s="3" t="s">
        <v>1164</v>
      </c>
      <c r="AD73" s="3"/>
      <c r="AE73" s="3" t="s">
        <v>51</v>
      </c>
      <c r="AF73" s="11">
        <v>46223</v>
      </c>
      <c r="AG73" s="3" t="s">
        <v>117</v>
      </c>
      <c r="AH73" s="3" t="s">
        <v>62</v>
      </c>
      <c r="AI73" s="3" t="s">
        <v>63</v>
      </c>
      <c r="AJ73" s="3" t="str">
        <f t="shared" si="2"/>
        <v>epa risk-screening environmental indicators (rsei) epa screening-level model that places tri-reported toxic chemical releases and waste-management activities into a relative health-impact context by incorporating chemical toxicity, environmental fate and transport, modeled exposure pathways, and potentially exposed populations. public website, interactive easyrsei dashboard, downloadable model results, geographic microdata, technical documentation, and data dictionary open/public environmental exposure toxic chemicals; industrial pollution; environmental justice; exposure modeling; risk screening; cancer risk; noncancer effects; facility-level data; geospatial data; longitudinal data 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 environmental toxic chemical releases; industrial pollution; modeled air exposure; modeled water exposure; chemical toxicity; environmental fate and transport; chronic cancer effects; chronic noncancer effects; population exposure; facility prioritization; environmental justice; pollution trends residents of the united states potentially affected by modeled air and water pathways from tri-reporting industrial and federal facilities united states 810-meter grid cell; census block group; census tract; zip code; county; facility; state, depending on product other high 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 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 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 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 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v>
      </c>
    </row>
    <row r="74" spans="1:36" ht="142.5" customHeight="1">
      <c r="A74" s="1" t="s">
        <v>1165</v>
      </c>
      <c r="B74" s="8" t="s">
        <v>1166</v>
      </c>
      <c r="C74" s="3" t="s">
        <v>1077</v>
      </c>
      <c r="D74" s="4" t="s">
        <v>1167</v>
      </c>
      <c r="E74" s="1" t="s">
        <v>1168</v>
      </c>
      <c r="F74" s="3" t="s">
        <v>1169</v>
      </c>
      <c r="G74" s="3" t="s">
        <v>224</v>
      </c>
      <c r="H74" s="3" t="s">
        <v>137</v>
      </c>
      <c r="I74" s="3" t="s">
        <v>810</v>
      </c>
      <c r="J74" s="3" t="s">
        <v>1170</v>
      </c>
      <c r="K74" s="3" t="s">
        <v>1171</v>
      </c>
      <c r="L74" s="3" t="s">
        <v>795</v>
      </c>
      <c r="M74" s="3" t="s">
        <v>1172</v>
      </c>
      <c r="N74" s="3" t="s">
        <v>1173</v>
      </c>
      <c r="O74" s="3" t="s">
        <v>48</v>
      </c>
      <c r="P74" s="3" t="s">
        <v>1174</v>
      </c>
      <c r="Q74" t="s">
        <v>815</v>
      </c>
      <c r="R74" s="3" t="s">
        <v>52</v>
      </c>
      <c r="S74" s="3" t="s">
        <v>51</v>
      </c>
      <c r="T74" s="3" t="s">
        <v>51</v>
      </c>
      <c r="U74" s="1" t="s">
        <v>1175</v>
      </c>
      <c r="V74" s="3" t="s">
        <v>1176</v>
      </c>
      <c r="W74" s="3" t="s">
        <v>42</v>
      </c>
      <c r="X74" s="3" t="s">
        <v>42</v>
      </c>
      <c r="Y74" s="3" t="s">
        <v>1177</v>
      </c>
      <c r="Z74" s="3" t="s">
        <v>1178</v>
      </c>
      <c r="AA74" s="3" t="s">
        <v>1179</v>
      </c>
      <c r="AB74" s="3" t="s">
        <v>1180</v>
      </c>
      <c r="AC74" s="3" t="s">
        <v>1181</v>
      </c>
      <c r="AD74" s="3"/>
      <c r="AE74" s="3" t="s">
        <v>51</v>
      </c>
      <c r="AF74" s="11">
        <v>46224</v>
      </c>
      <c r="AG74" s="3" t="s">
        <v>117</v>
      </c>
      <c r="AH74" s="3" t="s">
        <v>62</v>
      </c>
      <c r="AI74" s="3" t="s">
        <v>63</v>
      </c>
      <c r="AJ74" s="3" t="str">
        <f t="shared" si="2"/>
        <v>epa enforcement and compliance history online (echo) epa integrated public portal for locating regulated facilities and examining environmental permits, inspections, compliance status, violations, enforcement actions, penalties, pollutant discharges, and surrounding community characteristics across major federal environmental programs. public facility searches, detailed facility reports, dashboards, maps, bulk downloads, map services, and query-only web services; optional user accounts support selected notification or saved-search functions. open/public environmental exposure regulatory compliance; environmental enforcement; facility-level data; industrial pollution; drinking water; wastewater; hazardous waste; air regulation; environmental justice; permits; inspections; longitudinal data 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 environmental environmental regulation; facility compliance; permits; inspections; violations; enforcement actions; penalties; air-program compliance; wastewater and stormwater discharges; drinking-water compliance; hazardous-waste regulation; pollutant loadings; industrial facilities; community demographics residents and communities located near or served by regulated facilities, public water systems, wastewater systems, hazardous-waste handlers, and other entities covered by epa environmental programs united states facility; public water system; permitted discharge point; county; state; watershed facility/provider high 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 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 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 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 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v>
      </c>
    </row>
    <row r="75" spans="1:36" ht="71.25" customHeight="1">
      <c r="A75" s="1" t="s">
        <v>1182</v>
      </c>
      <c r="B75" s="9" t="s">
        <v>1183</v>
      </c>
      <c r="C75" s="3" t="s">
        <v>1077</v>
      </c>
      <c r="D75" s="4" t="s">
        <v>1184</v>
      </c>
      <c r="E75" s="1" t="s">
        <v>1185</v>
      </c>
      <c r="F75" s="3" t="s">
        <v>1186</v>
      </c>
      <c r="G75" s="3" t="s">
        <v>224</v>
      </c>
      <c r="H75" s="3" t="s">
        <v>137</v>
      </c>
      <c r="I75" s="3" t="s">
        <v>810</v>
      </c>
      <c r="J75" s="3" t="s">
        <v>1187</v>
      </c>
      <c r="K75" s="3" t="s">
        <v>1188</v>
      </c>
      <c r="L75" s="3" t="s">
        <v>323</v>
      </c>
      <c r="M75" s="3" t="s">
        <v>1189</v>
      </c>
      <c r="N75" s="3" t="s">
        <v>1190</v>
      </c>
      <c r="O75" s="3" t="s">
        <v>48</v>
      </c>
      <c r="P75" s="3" t="s">
        <v>1191</v>
      </c>
      <c r="Q75" s="3" t="s">
        <v>815</v>
      </c>
      <c r="R75" s="3" t="s">
        <v>52</v>
      </c>
      <c r="S75" s="3" t="s">
        <v>51</v>
      </c>
      <c r="T75" s="3" t="s">
        <v>52</v>
      </c>
      <c r="U75" s="1" t="s">
        <v>1192</v>
      </c>
      <c r="V75" s="3" t="s">
        <v>1193</v>
      </c>
      <c r="W75" s="3" t="s">
        <v>42</v>
      </c>
      <c r="X75" s="3" t="s">
        <v>42</v>
      </c>
      <c r="Y75" s="3" t="s">
        <v>1194</v>
      </c>
      <c r="Z75" s="3" t="s">
        <v>1195</v>
      </c>
      <c r="AA75" s="3" t="s">
        <v>1196</v>
      </c>
      <c r="AB75" s="3" t="s">
        <v>1197</v>
      </c>
      <c r="AC75" s="3" t="s">
        <v>1198</v>
      </c>
      <c r="AD75" s="3"/>
      <c r="AE75" s="3" t="s">
        <v>60</v>
      </c>
      <c r="AF75" s="11">
        <v>46224</v>
      </c>
      <c r="AG75" s="3" t="s">
        <v>117</v>
      </c>
      <c r="AH75" s="3" t="s">
        <v>62</v>
      </c>
      <c r="AI75" s="3" t="s">
        <v>63</v>
      </c>
      <c r="AJ75" s="3" t="str">
        <f t="shared" si="2"/>
        <v>epa facility registry service (frs) epa central facility-identification and geospatial registry that consolidates facility names, locations, identifiers, industrial classifications, and environmental-program affiliations from epa, state, tribal, and other partner systems to support facility matching and cross-dataset linkage. public facility search, downloadable state and national csv files, geospatial downloads, rest apis, arcgis map services, and custom query tools; selected intergovernmental or internal services require authentication. open/public environmental exposure sdoh/geospatial; facility registry; environmental regulation; data integration; facility identifiers; industrial facilities; geocoding; cross-dataset linkage; area-level data 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 geospatial/area-level environmental facilities; regulated sites; industrial facilities; facility identification; facility geolocation; air programs; water programs; hazardous waste; toxic releases; contaminated sites; drinking-water systems; wastewater facilities; environmental data integration residents and communities located near facilities, sites, public water systems, wastewater facilities, and other locations represented in epa or partner environmental-program systems united states facility or site facility/provider high 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 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 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 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 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v>
      </c>
    </row>
    <row r="76" spans="1:36" ht="85.5" customHeight="1">
      <c r="A76" s="1" t="s">
        <v>1199</v>
      </c>
      <c r="B76" s="9" t="s">
        <v>1200</v>
      </c>
      <c r="C76" s="3" t="s">
        <v>1077</v>
      </c>
      <c r="D76" s="1"/>
      <c r="E76" s="1" t="s">
        <v>1201</v>
      </c>
      <c r="F76" s="3" t="s">
        <v>1202</v>
      </c>
      <c r="G76" s="3" t="s">
        <v>224</v>
      </c>
      <c r="H76" s="3" t="s">
        <v>62</v>
      </c>
      <c r="I76" s="3" t="s">
        <v>810</v>
      </c>
      <c r="J76" s="3" t="s">
        <v>1203</v>
      </c>
      <c r="K76" s="3" t="s">
        <v>1204</v>
      </c>
      <c r="L76" s="3" t="s">
        <v>323</v>
      </c>
      <c r="M76" s="3" t="s">
        <v>1205</v>
      </c>
      <c r="N76" s="3" t="s">
        <v>1206</v>
      </c>
      <c r="O76" s="3" t="s">
        <v>48</v>
      </c>
      <c r="P76" s="3" t="s">
        <v>1207</v>
      </c>
      <c r="Q76" s="3" t="s">
        <v>815</v>
      </c>
      <c r="R76" s="3" t="s">
        <v>52</v>
      </c>
      <c r="S76" s="3" t="s">
        <v>51</v>
      </c>
      <c r="T76" s="3" t="s">
        <v>51</v>
      </c>
      <c r="U76" s="1" t="s">
        <v>1208</v>
      </c>
      <c r="V76" s="3" t="s">
        <v>1209</v>
      </c>
      <c r="W76" s="3" t="s">
        <v>42</v>
      </c>
      <c r="X76" s="3" t="s">
        <v>42</v>
      </c>
      <c r="Y76" s="3" t="s">
        <v>1210</v>
      </c>
      <c r="Z76" s="3" t="s">
        <v>1211</v>
      </c>
      <c r="AA76" s="3" t="s">
        <v>1212</v>
      </c>
      <c r="AB76" s="3" t="s">
        <v>1213</v>
      </c>
      <c r="AC76" s="3" t="s">
        <v>1214</v>
      </c>
      <c r="AD76" s="3"/>
      <c r="AE76" s="3" t="s">
        <v>60</v>
      </c>
      <c r="AF76" s="11">
        <v>46224</v>
      </c>
      <c r="AG76" s="3" t="s">
        <v>117</v>
      </c>
      <c r="AH76" s="3" t="s">
        <v>62</v>
      </c>
      <c r="AI76" s="3"/>
      <c r="AJ76" s="3" t="str">
        <f t="shared" si="2"/>
        <v>epa superfund data and reports / npl sites epa official national repository and search system for identifying active and archived superfund sites and examining site location, national priorities list status, contaminants, affected media, site assessment, cleanup actions, remedies, enforcement activities, and remediation progress. public sems search, npl site tables and maps, site profiles, downloadable reports, document collections, and separate geospatial boundary data; bulk products are distributed across multiple epa pages and formats. open/public environmental exposure sdoh/geospatial; contaminated sites; hazardous waste; superfund; environmental justice; cleanup and remediation; facility-level data; soil contamination; groundwater contamination; historical data 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 geospatial/area-level hazardous-waste sites; contaminated land; soil contamination; groundwater contamination; surface-water contamination; sediment contamination; site assessment; remediation; cleanup status; contaminants of concern; institutional controls; engineering controls; enforcement and settlements residents and communities located near active, archived, proposed, final, or deleted superfund and related hazardous-waste sites in the united states and territories united states superfund site; facility; site boundary; county; state facility/provider high 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 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 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 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 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v>
      </c>
    </row>
    <row r="77" spans="1:36" ht="85.5" customHeight="1">
      <c r="A77" s="1" t="s">
        <v>1215</v>
      </c>
      <c r="B77" t="s">
        <v>1216</v>
      </c>
      <c r="C77" s="3" t="s">
        <v>1077</v>
      </c>
      <c r="D77" s="4" t="s">
        <v>1217</v>
      </c>
      <c r="E77" s="1" t="s">
        <v>1218</v>
      </c>
      <c r="F77" s="3" t="s">
        <v>1219</v>
      </c>
      <c r="G77" s="3" t="s">
        <v>224</v>
      </c>
      <c r="H77" s="3" t="s">
        <v>62</v>
      </c>
      <c r="I77" s="3" t="s">
        <v>339</v>
      </c>
      <c r="J77" s="3" t="s">
        <v>1220</v>
      </c>
      <c r="K77" s="3" t="s">
        <v>1221</v>
      </c>
      <c r="L77" s="3" t="s">
        <v>323</v>
      </c>
      <c r="M77" s="3" t="s">
        <v>1222</v>
      </c>
      <c r="N77" s="3" t="s">
        <v>1223</v>
      </c>
      <c r="O77" s="3" t="s">
        <v>48</v>
      </c>
      <c r="P77" s="3" t="s">
        <v>1224</v>
      </c>
      <c r="Q77" s="3" t="s">
        <v>49</v>
      </c>
      <c r="R77" s="3" t="s">
        <v>52</v>
      </c>
      <c r="S77" s="3" t="s">
        <v>51</v>
      </c>
      <c r="T77" s="3" t="s">
        <v>52</v>
      </c>
      <c r="U77" s="1" t="s">
        <v>1225</v>
      </c>
      <c r="V77" s="3" t="s">
        <v>1226</v>
      </c>
      <c r="W77" s="3" t="s">
        <v>42</v>
      </c>
      <c r="X77" s="3" t="s">
        <v>42</v>
      </c>
      <c r="Y77" s="3" t="s">
        <v>1227</v>
      </c>
      <c r="Z77" s="3" t="s">
        <v>1228</v>
      </c>
      <c r="AA77" s="3" t="s">
        <v>1229</v>
      </c>
      <c r="AB77" s="3" t="s">
        <v>1230</v>
      </c>
      <c r="AC77" s="3" t="s">
        <v>1231</v>
      </c>
      <c r="AD77" s="3"/>
      <c r="AE77" s="3" t="s">
        <v>51</v>
      </c>
      <c r="AF77" s="11">
        <v>46225</v>
      </c>
      <c r="AG77" s="3" t="s">
        <v>117</v>
      </c>
      <c r="AH77" s="3" t="s">
        <v>62</v>
      </c>
      <c r="AI77" s="3"/>
      <c r="AJ77" s="3" t="e">
        <f>LOWER(_xlfn.SINGLE(_xlfn.TEXTJOIN(" ", TRUE,#REF!, C77, E77, F77, G77, I77, J77, K77, L77, M77, N77, O77, P77, Q77, X77, Y77, Z77, AA77, AB77, AC77, AD77)))</f>
        <v>#REF!</v>
      </c>
    </row>
    <row r="78" spans="1:36" ht="71.25" customHeight="1">
      <c r="A78" s="1" t="s">
        <v>1232</v>
      </c>
      <c r="B78" s="8" t="s">
        <v>1233</v>
      </c>
      <c r="C78" s="3" t="s">
        <v>1077</v>
      </c>
      <c r="D78" s="15" t="s">
        <v>1234</v>
      </c>
      <c r="E78" s="14" t="s">
        <v>1235</v>
      </c>
      <c r="F78" s="3" t="s">
        <v>1236</v>
      </c>
      <c r="G78" s="3" t="s">
        <v>455</v>
      </c>
      <c r="H78" s="3" t="s">
        <v>137</v>
      </c>
      <c r="I78" s="3" t="s">
        <v>810</v>
      </c>
      <c r="J78" s="3" t="s">
        <v>1237</v>
      </c>
      <c r="K78" s="3" t="s">
        <v>1238</v>
      </c>
      <c r="L78" s="3" t="s">
        <v>323</v>
      </c>
      <c r="M78" s="3" t="s">
        <v>1239</v>
      </c>
      <c r="N78" s="3" t="s">
        <v>1240</v>
      </c>
      <c r="O78" s="3" t="s">
        <v>48</v>
      </c>
      <c r="P78" s="3" t="s">
        <v>1241</v>
      </c>
      <c r="Q78" s="3" t="s">
        <v>49</v>
      </c>
      <c r="R78" s="3" t="s">
        <v>52</v>
      </c>
      <c r="S78" s="3" t="s">
        <v>51</v>
      </c>
      <c r="T78" s="3" t="s">
        <v>51</v>
      </c>
      <c r="U78" s="1" t="s">
        <v>1242</v>
      </c>
      <c r="V78" s="3" t="s">
        <v>1243</v>
      </c>
      <c r="W78" s="3" t="s">
        <v>42</v>
      </c>
      <c r="X78" s="3" t="s">
        <v>42</v>
      </c>
      <c r="Y78" s="3" t="s">
        <v>1244</v>
      </c>
      <c r="Z78" s="3" t="s">
        <v>1245</v>
      </c>
      <c r="AA78" s="3" t="s">
        <v>1246</v>
      </c>
      <c r="AB78" s="3" t="s">
        <v>1247</v>
      </c>
      <c r="AC78" s="3" t="s">
        <v>1248</v>
      </c>
      <c r="AD78" s="3"/>
      <c r="AE78" s="3" t="s">
        <v>60</v>
      </c>
      <c r="AF78" s="11">
        <v>46225</v>
      </c>
      <c r="AG78" s="3" t="s">
        <v>117</v>
      </c>
      <c r="AH78" s="3" t="s">
        <v>62</v>
      </c>
      <c r="AI78" s="3"/>
      <c r="AJ78" s="3" t="str">
        <f>LOWER(_xlfn.SINGLE(_xlfn.TEXTJOIN(" ", TRUE, B78, C78, E78, F78, G78, I78, J78, K78, L78, M78, N78, O78, P78, Q78, X78, Y78, Z78, AA78, AB78, AC78, AD78)))</f>
        <v>epa brownfields site information epa public property-level information on brownfields addressed using epa funding or technical assistance, including property location, assessment activities, potential or confirmed contamination, cleanup progress, controls, redevelopment, and reuse accomplishments. public map, searchable property profiles, excel and csv downloads through cleanups in my community; full acres reporting system restricted to epa brownfields staff and authorized grant or contract recipients. open plus controlled data environmental exposure sdoh/geospatial; brownfields; contaminated sites; land revitalization; environmental justice; cleanup and remediation; redevelopment; property-level data; community development 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 geospatial/area-level 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 residents and communities surrounding properties assessed, cleaned up, or redeveloped using epa brownfields funding or technical assistance united states brownfield property or site; grant jurisdiction; address; county; state other high 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 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 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 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 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v>
      </c>
    </row>
    <row r="79" spans="1:36" ht="71.25" customHeight="1">
      <c r="A79" s="1" t="s">
        <v>1249</v>
      </c>
      <c r="B79" s="9" t="s">
        <v>1250</v>
      </c>
      <c r="C79" s="3" t="s">
        <v>1077</v>
      </c>
      <c r="D79" s="4" t="s">
        <v>1251</v>
      </c>
      <c r="E79" s="1" t="s">
        <v>1252</v>
      </c>
      <c r="F79" s="3" t="s">
        <v>1253</v>
      </c>
      <c r="G79" s="3" t="s">
        <v>224</v>
      </c>
      <c r="H79" s="3" t="s">
        <v>62</v>
      </c>
      <c r="I79" s="3" t="s">
        <v>810</v>
      </c>
      <c r="J79" s="3" t="s">
        <v>1254</v>
      </c>
      <c r="K79" s="3" t="s">
        <v>1255</v>
      </c>
      <c r="L79" s="3" t="s">
        <v>795</v>
      </c>
      <c r="M79" s="3" t="s">
        <v>1256</v>
      </c>
      <c r="N79" s="3" t="s">
        <v>1257</v>
      </c>
      <c r="O79" s="3" t="s">
        <v>48</v>
      </c>
      <c r="P79" s="3" t="s">
        <v>1258</v>
      </c>
      <c r="Q79" s="3" t="s">
        <v>49</v>
      </c>
      <c r="R79" s="3" t="s">
        <v>52</v>
      </c>
      <c r="S79" s="3" t="s">
        <v>51</v>
      </c>
      <c r="T79" s="3" t="s">
        <v>51</v>
      </c>
      <c r="U79" s="1" t="s">
        <v>1259</v>
      </c>
      <c r="V79" s="3" t="s">
        <v>1260</v>
      </c>
      <c r="W79" s="3" t="s">
        <v>42</v>
      </c>
      <c r="X79" s="3" t="s">
        <v>42</v>
      </c>
      <c r="Y79" s="3" t="s">
        <v>1261</v>
      </c>
      <c r="Z79" s="3" t="s">
        <v>1262</v>
      </c>
      <c r="AA79" s="3" t="s">
        <v>1263</v>
      </c>
      <c r="AB79" s="3" t="s">
        <v>1264</v>
      </c>
      <c r="AC79" s="3" t="s">
        <v>1265</v>
      </c>
      <c r="AD79" s="3"/>
      <c r="AE79" s="3" t="s">
        <v>51</v>
      </c>
      <c r="AF79" s="11">
        <v>46224</v>
      </c>
      <c r="AG79" s="3" t="s">
        <v>117</v>
      </c>
      <c r="AH79" s="3" t="s">
        <v>42</v>
      </c>
      <c r="AI79" s="3" t="s">
        <v>63</v>
      </c>
      <c r="AJ79" s="3" t="str">
        <f>LOWER(_xlfn.SINGLE(_xlfn.TEXTJOIN(" ", TRUE, B79, C79, E79, F79, G79, I79, J79, K79, L79, M79, N79, O79, P79, Q79, X79, Y79, Z79, AA79, AB79, AC79, AD79)))</f>
        <v>water quality portal (wqp) epa national portal for discovering, querying, and downloading discrete physical, chemical, biological, and habitat-related water-quality monitoring results from epa, usgs, and state, tribal, federal, local, academic, watershed, and volunteer monitoring programs. public web query, downloadable csv, tab-delimited and excel files, geospatial services, and public rest web services; no registration required for data retrieval. open/public environmental exposure water quality; environmental monitoring; surface water; groundwater; sdoh/geospatial; aquatic ecosystems; drinking water; biological monitoring; monitoring-site data; time-series data 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 environmental water chemistry; surface-water quality; groundwater quality; nutrients; metals; organic chemicals; pfas; pesticides; pharmaceuticals; pathogens; bacteria; physical water characteristics; sediment; aquatic biology; habitat assessment; drinking-water source quality; watershed condition water bodies, groundwater resources, sediments, aquatic organisms, and other environmental media represented by samples collected at monitoring locations united states monitoring site; water body; watershed/huc; county; state; other high 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 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 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 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 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v>
      </c>
    </row>
    <row r="80" spans="1:36" ht="114" customHeight="1">
      <c r="A80" s="1" t="s">
        <v>1266</v>
      </c>
      <c r="B80" s="9" t="s">
        <v>1267</v>
      </c>
      <c r="C80" s="3" t="s">
        <v>1268</v>
      </c>
      <c r="D80" s="14" t="s">
        <v>1269</v>
      </c>
      <c r="E80" s="14" t="s">
        <v>1270</v>
      </c>
      <c r="F80" t="s">
        <v>1271</v>
      </c>
      <c r="G80" t="s">
        <v>224</v>
      </c>
      <c r="H80" t="s">
        <v>137</v>
      </c>
      <c r="I80" s="3" t="s">
        <v>810</v>
      </c>
      <c r="J80" s="3" t="s">
        <v>1272</v>
      </c>
      <c r="K80" s="3" t="s">
        <v>1273</v>
      </c>
      <c r="L80" s="3" t="s">
        <v>290</v>
      </c>
      <c r="M80" s="3" t="s">
        <v>1274</v>
      </c>
      <c r="N80" s="3" t="s">
        <v>1275</v>
      </c>
      <c r="O80" s="3" t="s">
        <v>48</v>
      </c>
      <c r="P80" s="3" t="s">
        <v>1276</v>
      </c>
      <c r="Q80" s="3" t="s">
        <v>294</v>
      </c>
      <c r="R80" s="3" t="s">
        <v>52</v>
      </c>
      <c r="S80" s="3" t="s">
        <v>51</v>
      </c>
      <c r="T80" s="3" t="s">
        <v>51</v>
      </c>
      <c r="U80" s="1" t="s">
        <v>1277</v>
      </c>
      <c r="V80" s="3" t="s">
        <v>1278</v>
      </c>
      <c r="W80" s="3" t="s">
        <v>62</v>
      </c>
      <c r="X80" s="3" t="s">
        <v>42</v>
      </c>
      <c r="Y80" s="3" t="s">
        <v>1279</v>
      </c>
      <c r="Z80" s="3" t="s">
        <v>1280</v>
      </c>
      <c r="AA80" s="3" t="s">
        <v>1281</v>
      </c>
      <c r="AB80" s="3" t="s">
        <v>1282</v>
      </c>
      <c r="AC80" s="3" t="s">
        <v>1283</v>
      </c>
      <c r="AD80" s="3"/>
      <c r="AE80" s="3" t="s">
        <v>60</v>
      </c>
      <c r="AF80" s="11">
        <v>46225</v>
      </c>
      <c r="AG80" s="3" t="s">
        <v>117</v>
      </c>
      <c r="AH80" s="3" t="s">
        <v>62</v>
      </c>
      <c r="AI80" s="3"/>
      <c r="AJ80" s="3" t="str">
        <f>LOWER(_xlfn.SINGLE(_xlfn.TEXTJOIN(" ", TRUE, B80, C80, E81, F81, G81, I80, J80, K80, L80, M80, N80, O80, P80, Q80, X80, Y80, Z80, AA80, AB80, AC80, AD80)))</f>
        <v>how's my waterway epa / data.gov 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 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 open/public environmental exposure reports/dashboard; sdoh/geospatial; water quality; watersheds; impaired waters; drinking water; permitted dischargers; water monitoring; restoration; environmental justice; public communication 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 reports/dashboard surface-water condition; swimming; fish consumption; aquatic life; impairments; causes of impairment; restoration and protection; permitted wastewater dischargers; discharge violations; drinking-water systems; water monitoring; cyanobacteria; watershed health; state and national water metrics residents, water users, and communities associated with u.s. watersheds, waterbodies, states, territories, and tribal areas represented in the application united states huc12 watershed; waterbody; community; state; tribal area; national report/dashboard high 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 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 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 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 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v>
      </c>
    </row>
    <row r="81" spans="1:36" ht="85.5" customHeight="1">
      <c r="A81" s="1" t="s">
        <v>1284</v>
      </c>
      <c r="B81" s="8" t="s">
        <v>1285</v>
      </c>
      <c r="C81" s="3" t="s">
        <v>1268</v>
      </c>
      <c r="D81" s="4" t="s">
        <v>1286</v>
      </c>
      <c r="E81" s="1" t="s">
        <v>1287</v>
      </c>
      <c r="F81" s="3" t="s">
        <v>1288</v>
      </c>
      <c r="G81" s="3" t="s">
        <v>224</v>
      </c>
      <c r="H81" s="3" t="s">
        <v>62</v>
      </c>
      <c r="I81" s="3" t="s">
        <v>810</v>
      </c>
      <c r="J81" s="3" t="s">
        <v>1289</v>
      </c>
      <c r="K81" s="3" t="s">
        <v>1290</v>
      </c>
      <c r="L81" s="3" t="s">
        <v>323</v>
      </c>
      <c r="M81" s="3" t="s">
        <v>1291</v>
      </c>
      <c r="N81" s="3" t="s">
        <v>1292</v>
      </c>
      <c r="O81" s="3" t="s">
        <v>48</v>
      </c>
      <c r="P81" s="3" t="s">
        <v>1293</v>
      </c>
      <c r="Q81" s="3" t="s">
        <v>49</v>
      </c>
      <c r="R81" s="3" t="s">
        <v>52</v>
      </c>
      <c r="S81" s="3" t="s">
        <v>51</v>
      </c>
      <c r="T81" s="3" t="s">
        <v>51</v>
      </c>
      <c r="U81" s="1" t="s">
        <v>1294</v>
      </c>
      <c r="V81" s="3" t="s">
        <v>1295</v>
      </c>
      <c r="W81" s="3" t="s">
        <v>42</v>
      </c>
      <c r="X81" s="3" t="s">
        <v>42</v>
      </c>
      <c r="Y81" s="3" t="s">
        <v>1296</v>
      </c>
      <c r="Z81" s="3" t="s">
        <v>1297</v>
      </c>
      <c r="AA81" s="3" t="s">
        <v>1298</v>
      </c>
      <c r="AB81" s="3" t="s">
        <v>1299</v>
      </c>
      <c r="AC81" s="3" t="s">
        <v>1300</v>
      </c>
      <c r="AD81" s="3"/>
      <c r="AE81" s="3" t="s">
        <v>60</v>
      </c>
      <c r="AF81" s="11">
        <v>46225</v>
      </c>
      <c r="AG81" s="3" t="s">
        <v>117</v>
      </c>
      <c r="AH81" s="3" t="s">
        <v>42</v>
      </c>
      <c r="AI81" s="3" t="s">
        <v>63</v>
      </c>
      <c r="AJ81" s="3" t="e">
        <f>LOWER(_xlfn.SINGLE(_xlfn.TEXTJOIN(" ", TRUE, B81, C81,#REF!,#REF!,#REF!, I81, J81, K81, L81, M81, N81, O81, P81, Q81, X81, Y81, Z81, AA81, AB81, AC81, AD81)))</f>
        <v>#REF!</v>
      </c>
    </row>
    <row r="82" spans="1:36" ht="85.5" customHeight="1">
      <c r="A82" s="1" t="s">
        <v>1301</v>
      </c>
      <c r="B82" s="9" t="s">
        <v>1302</v>
      </c>
      <c r="C82" s="3" t="s">
        <v>1303</v>
      </c>
      <c r="D82" s="4" t="s">
        <v>1304</v>
      </c>
      <c r="E82" s="1" t="s">
        <v>1305</v>
      </c>
      <c r="F82" s="3" t="s">
        <v>1306</v>
      </c>
      <c r="G82" s="3" t="s">
        <v>224</v>
      </c>
      <c r="H82" s="3" t="s">
        <v>62</v>
      </c>
      <c r="I82" s="3" t="s">
        <v>810</v>
      </c>
      <c r="J82" s="3" t="s">
        <v>1307</v>
      </c>
      <c r="K82" s="3" t="s">
        <v>1308</v>
      </c>
      <c r="L82" s="3" t="s">
        <v>323</v>
      </c>
      <c r="M82" s="3" t="s">
        <v>1309</v>
      </c>
      <c r="N82" s="3" t="s">
        <v>1310</v>
      </c>
      <c r="O82" s="3" t="s">
        <v>48</v>
      </c>
      <c r="P82" s="3" t="s">
        <v>1311</v>
      </c>
      <c r="Q82" s="3" t="s">
        <v>49</v>
      </c>
      <c r="R82" s="3" t="s">
        <v>52</v>
      </c>
      <c r="S82" s="3" t="s">
        <v>51</v>
      </c>
      <c r="T82" s="3" t="s">
        <v>52</v>
      </c>
      <c r="U82" s="1" t="s">
        <v>1312</v>
      </c>
      <c r="V82" s="3" t="s">
        <v>1313</v>
      </c>
      <c r="W82" s="3" t="s">
        <v>42</v>
      </c>
      <c r="X82" s="3" t="s">
        <v>42</v>
      </c>
      <c r="Y82" s="3" t="s">
        <v>1314</v>
      </c>
      <c r="Z82" s="3" t="s">
        <v>1315</v>
      </c>
      <c r="AA82" s="3" t="s">
        <v>1316</v>
      </c>
      <c r="AB82" s="3" t="s">
        <v>1317</v>
      </c>
      <c r="AC82" s="3" t="s">
        <v>1318</v>
      </c>
      <c r="AD82" s="3"/>
      <c r="AE82" s="3" t="s">
        <v>60</v>
      </c>
      <c r="AF82" s="11">
        <v>46225</v>
      </c>
      <c r="AG82" s="3" t="s">
        <v>117</v>
      </c>
      <c r="AH82" s="3" t="s">
        <v>62</v>
      </c>
      <c r="AI82" s="3" t="s">
        <v>63</v>
      </c>
      <c r="AJ82" s="3" t="str">
        <f>LOWER(_xlfn.SINGLE(_xlfn.TEXTJOIN(" ", TRUE, B82, C82, E82, F82, G82, I82, J82, K82, L82, M82, N82, O82, P82, Q82, X82, Y82, Z82, AA82, AB82, AC82, AD82)))</f>
        <v>epa waters geospatial data usgs / epa / nwqmc national geospatial framework providing hydrologically connected gis datasets, stream networks, catchments, watersheds, assessment units, and linked epa water-program layers for watershed delineation, upstream/downstream tracing, spatial analysis, and integration of epa water data. public geodatabases, shapefiles, feature services, arcgis rest services, downloadable gis layers, and web services. open/public environmental exposure sdoh/geospatial; hydrography; watersheds; stream network; gis; nhdplus; catchments; water resources; spatial analysis; hydrologic modeling 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 geospatial/area-level hydrography; stream networks; watersheds; catchments; hydrologic connectivity; waterbody geometry; assessment-unit boundaries; watershed delineation; flow-path analysis; gis integration; environmental spatial analysis surface-water features and hydrologic units represented in the national hydrographic network united states stream reach; flowline; catchment; watershed/huc; assessment unit; waterbody other high 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 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 epa attains; epa how's my waterway; water quality portal; epa nhdplus; epa echo/npdes; epa safe drinking water information system; epa enviroatlas; usgs national hydrography dataset; american community survey; census tiger/line 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 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v>
      </c>
    </row>
    <row r="83" spans="1:36" ht="85.5" customHeight="1">
      <c r="A83" s="1" t="s">
        <v>1319</v>
      </c>
      <c r="B83" s="8" t="s">
        <v>1320</v>
      </c>
      <c r="C83" s="3" t="s">
        <v>1077</v>
      </c>
      <c r="D83" s="4" t="s">
        <v>1321</v>
      </c>
      <c r="E83" s="1" t="s">
        <v>1322</v>
      </c>
      <c r="F83" s="3" t="s">
        <v>1323</v>
      </c>
      <c r="G83" s="3" t="s">
        <v>224</v>
      </c>
      <c r="H83" s="3" t="s">
        <v>62</v>
      </c>
      <c r="I83" s="3" t="s">
        <v>810</v>
      </c>
      <c r="J83" s="3" t="s">
        <v>1324</v>
      </c>
      <c r="K83" s="3" t="s">
        <v>1325</v>
      </c>
      <c r="L83" s="3" t="s">
        <v>795</v>
      </c>
      <c r="M83" s="3" t="s">
        <v>1326</v>
      </c>
      <c r="N83" s="3" t="s">
        <v>1327</v>
      </c>
      <c r="O83" s="3" t="s">
        <v>48</v>
      </c>
      <c r="P83" s="3" t="s">
        <v>1328</v>
      </c>
      <c r="Q83" s="3" t="s">
        <v>49</v>
      </c>
      <c r="R83" s="3" t="s">
        <v>52</v>
      </c>
      <c r="S83" s="3" t="s">
        <v>51</v>
      </c>
      <c r="T83" s="3" t="s">
        <v>51</v>
      </c>
      <c r="U83" s="1" t="s">
        <v>1329</v>
      </c>
      <c r="V83" s="3" t="s">
        <v>1330</v>
      </c>
      <c r="W83" s="3" t="s">
        <v>42</v>
      </c>
      <c r="X83" s="3" t="s">
        <v>42</v>
      </c>
      <c r="Y83" s="3" t="s">
        <v>1331</v>
      </c>
      <c r="Z83" s="3" t="s">
        <v>1332</v>
      </c>
      <c r="AA83" s="3" t="s">
        <v>1333</v>
      </c>
      <c r="AB83" s="3" t="s">
        <v>1334</v>
      </c>
      <c r="AC83" s="3" t="s">
        <v>1335</v>
      </c>
      <c r="AD83" s="3"/>
      <c r="AE83" s="3" t="s">
        <v>51</v>
      </c>
      <c r="AF83" s="11">
        <v>46226</v>
      </c>
      <c r="AG83" s="3" t="s">
        <v>117</v>
      </c>
      <c r="AH83" s="3" t="s">
        <v>42</v>
      </c>
      <c r="AI83" s="3" t="s">
        <v>63</v>
      </c>
      <c r="AJ83" s="3" t="str">
        <f>LOWER(_xlfn.SINGLE(_xlfn.TEXTJOIN(" ", TRUE, B83, C83, E83, F83, G83, I83, J83, K83, L83, M83, N83, O83, P83, Q83, X83, Y83, Z83, AA83, AB83, AC83, AD83)))</f>
        <v>usgs water data for the nation / nwis epa national access system for current and historical usgs hydrologic and water-quality information collected at monitoring locations, including continuous sensor data, daily values, manual field measurements, discrete environmental samples, monitoring-site metadata, and derived statistics. public monitoring-location pages, maps, graphs, tables, data downloads, national water dashboard, rest/ogc apis, and r/python data-access tools; an api key is available for higher request-rate limits. open/public environmental exposure water quality; hydrology; surface water; groundwater; streamflow; water levels; environmental monitoring; sdoh/geospatial; monitoring-site data; time-series data; real-time data 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 environmental streamflow; river and stream levels; lakes and reservoirs; groundwater levels; wells and aquifers; floods; drought; precipitation; water temperature; physical water quality; chemical water quality; sediment; biological samples; hydrologic statistics surface waters, groundwater systems, and associated communities represented by usgs monitoring locations across u.s. states and territories united states monitoring location; streamgage; well; spring; lake or reservoir site; county; watershed/huc other high 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 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 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 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 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v>
      </c>
    </row>
    <row r="84" spans="1:36" ht="85.5" customHeight="1">
      <c r="A84" s="1" t="s">
        <v>1336</v>
      </c>
      <c r="B84" s="9" t="s">
        <v>1337</v>
      </c>
      <c r="C84" s="3" t="s">
        <v>1077</v>
      </c>
      <c r="D84" s="4" t="s">
        <v>1338</v>
      </c>
      <c r="E84" s="1" t="s">
        <v>1339</v>
      </c>
      <c r="F84" s="3" t="s">
        <v>1340</v>
      </c>
      <c r="G84" s="3"/>
      <c r="H84" s="3"/>
      <c r="I84" t="s">
        <v>810</v>
      </c>
      <c r="J84" s="3" t="s">
        <v>1341</v>
      </c>
      <c r="K84" s="3" t="s">
        <v>1342</v>
      </c>
      <c r="L84" s="3" t="s">
        <v>795</v>
      </c>
      <c r="M84" s="3" t="s">
        <v>1343</v>
      </c>
      <c r="N84" s="3" t="s">
        <v>1344</v>
      </c>
      <c r="O84" s="3" t="s">
        <v>197</v>
      </c>
      <c r="P84" s="3" t="s">
        <v>1345</v>
      </c>
      <c r="Q84" s="3" t="s">
        <v>49</v>
      </c>
      <c r="R84" s="3" t="s">
        <v>52</v>
      </c>
      <c r="S84" s="3" t="s">
        <v>51</v>
      </c>
      <c r="T84" s="3" t="s">
        <v>51</v>
      </c>
      <c r="U84" s="1" t="s">
        <v>1346</v>
      </c>
      <c r="V84" s="3" t="s">
        <v>1347</v>
      </c>
      <c r="W84" s="3" t="s">
        <v>42</v>
      </c>
      <c r="X84" s="3" t="s">
        <v>42</v>
      </c>
      <c r="Y84" s="3" t="s">
        <v>1348</v>
      </c>
      <c r="Z84" s="3" t="s">
        <v>1349</v>
      </c>
      <c r="AA84" s="3" t="s">
        <v>1350</v>
      </c>
      <c r="AB84" s="3" t="s">
        <v>1351</v>
      </c>
      <c r="AC84" s="3" t="s">
        <v>1352</v>
      </c>
      <c r="AD84" s="3"/>
      <c r="AE84" s="3" t="s">
        <v>51</v>
      </c>
      <c r="AF84" s="11">
        <v>46225</v>
      </c>
      <c r="AG84" s="3"/>
      <c r="AH84" s="3" t="s">
        <v>62</v>
      </c>
      <c r="AI84" s="3"/>
      <c r="AJ84" s="3" t="str">
        <f>LOWER(_xlfn.SINGLE(_xlfn.TEXTJOIN(" ", TRUE, B84, C84, E84, F84, G84, I84, J84, K84, L84, M84, N84, O84, P84, Q84, X84, Y84, Z84, AA84, AB84, AC84, AD84)))</f>
        <v>noaa climate data online (cdo) epa portal for discovering and downloading observed historical weather and climate data and station metadata from multiple noaa/ncei collections, including daily, monthly, seasonal, annual, hourly, radar, precipitation, and climate-normal products. public search and mapping tools, free data orders and downloads, dataset-specific tools, bulk files, and web services; the cdo api requires a free email-issued token; certified copies for legal use may require payment. environmental exposure climate; weather; temperature; precipitation; wind; snow; humidity; climate normals; environmental monitoring; station data; time-series data; sdoh/geospatial 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 environmental temperature; extreme heat; extreme cold; precipitation; heavy rainfall; drought-related conditions; snowfall; snow depth; wind; humidity; dew point; atmospheric pressure; degree days; climate normals; routine weather observations; radar observations weather-observing locations and surrounding land areas and populations worldwide global/international weather station; city; county; state; country, depending on dataset and search other high 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 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 prism climate data; noaa storm events database; ghcn-daily; noaa local climatological data; noaa u.s. climate normals; cdc heat and health tracker; epa airdata/aqs; usgs water data for the nation; american community survey; daymet; gridmet 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 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v>
      </c>
    </row>
    <row r="85" spans="1:36" ht="71.25" customHeight="1">
      <c r="A85" s="1" t="s">
        <v>1353</v>
      </c>
      <c r="B85" s="8" t="s">
        <v>1354</v>
      </c>
      <c r="C85" s="3" t="s">
        <v>1355</v>
      </c>
      <c r="D85" s="4" t="s">
        <v>1356</v>
      </c>
      <c r="E85" s="1" t="s">
        <v>1357</v>
      </c>
      <c r="F85" s="3" t="s">
        <v>1358</v>
      </c>
      <c r="G85" s="3" t="s">
        <v>224</v>
      </c>
      <c r="H85" s="3" t="s">
        <v>137</v>
      </c>
      <c r="I85" s="3" t="s">
        <v>810</v>
      </c>
      <c r="J85" s="3" t="s">
        <v>1359</v>
      </c>
      <c r="K85" s="3" t="s">
        <v>1360</v>
      </c>
      <c r="L85" s="3" t="s">
        <v>795</v>
      </c>
      <c r="M85" s="3" t="s">
        <v>1361</v>
      </c>
      <c r="N85" s="3" t="s">
        <v>1362</v>
      </c>
      <c r="O85" s="3" t="s">
        <v>48</v>
      </c>
      <c r="P85" s="3" t="s">
        <v>293</v>
      </c>
      <c r="Q85" s="3" t="s">
        <v>293</v>
      </c>
      <c r="R85" s="3" t="s">
        <v>52</v>
      </c>
      <c r="S85" s="3" t="s">
        <v>51</v>
      </c>
      <c r="T85" s="3" t="s">
        <v>51</v>
      </c>
      <c r="U85" s="1" t="s">
        <v>1363</v>
      </c>
      <c r="V85" s="3" t="s">
        <v>1364</v>
      </c>
      <c r="W85" s="3" t="s">
        <v>42</v>
      </c>
      <c r="X85" s="3" t="s">
        <v>42</v>
      </c>
      <c r="Y85" s="3" t="s">
        <v>1365</v>
      </c>
      <c r="Z85" s="3" t="s">
        <v>1366</v>
      </c>
      <c r="AA85" s="3" t="s">
        <v>1367</v>
      </c>
      <c r="AB85" s="3" t="s">
        <v>1368</v>
      </c>
      <c r="AC85" s="3" t="s">
        <v>1369</v>
      </c>
      <c r="AD85" s="3"/>
      <c r="AE85" s="3" t="s">
        <v>51</v>
      </c>
      <c r="AF85" s="11">
        <v>46226</v>
      </c>
      <c r="AG85" s="3" t="s">
        <v>117</v>
      </c>
      <c r="AH85" s="3" t="s">
        <v>42</v>
      </c>
      <c r="AI85" s="3"/>
      <c r="AJ85" s="3" t="str">
        <f>LOWER(_xlfn.SINGLE(_xlfn.TEXTJOIN(" ", TRUE, B85, C85, E85, F85, G85, I85, J85, K85, L85, M85, N85, O85, P85, Q85, X85, Y85, Z85, AA85, AB85, AC85, AD85)))</f>
        <v>noaa nclimgrid daily / epinoaa county dataset usgs analysis-ready daily county-level time series of area-averaged maximum, minimum, and mean temperature and precipitation derived from noaa nclimgrid-daily for climate monitoring, epidemiologic exposure assignment, and longitudinal public-health research. public direct csv and parquet downloads through noaa-hosted cloud storage; r package and interactive access options are also available; no registration or credentials required. open/public environmental exposure climate; weather; extreme heat; extreme cold; precipitation; county-level data; sdoh/geospatial; analysis-ready data; time-series data; epidemiology 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 environmental daily temperature; extreme heat; extreme cold; precipitation; heavy rainfall; drought-related conditions; flood-related climate conditions; climate variability; weather exposure residents and land areas of counties in the contiguous united states, represented through county-area-average daily climate estimates united states county county high date; year; month; day; county or regional identifier; county name; state identifier; daily maximum temperature (tmax, °c); daily minimum temperature (tmin, °c); daily average temperature (tavg, °c); daily precipitation amount (prcp, mm); preliminary or scaled data status; product version 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 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 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 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v>
      </c>
    </row>
    <row r="86" spans="1:36" ht="57" customHeight="1">
      <c r="A86" s="1" t="s">
        <v>1370</v>
      </c>
      <c r="B86" s="9" t="s">
        <v>1371</v>
      </c>
      <c r="C86" t="s">
        <v>1372</v>
      </c>
      <c r="D86" s="15" t="s">
        <v>1373</v>
      </c>
      <c r="E86" s="14" t="s">
        <v>1374</v>
      </c>
      <c r="F86" s="3" t="s">
        <v>1375</v>
      </c>
      <c r="G86" s="3" t="s">
        <v>905</v>
      </c>
      <c r="H86" s="3" t="s">
        <v>62</v>
      </c>
      <c r="I86" s="3" t="s">
        <v>810</v>
      </c>
      <c r="J86" s="3" t="s">
        <v>1376</v>
      </c>
      <c r="K86" s="3"/>
      <c r="L86" s="3" t="s">
        <v>795</v>
      </c>
      <c r="M86" s="3" t="s">
        <v>1377</v>
      </c>
      <c r="N86" s="3" t="s">
        <v>1378</v>
      </c>
      <c r="O86" s="3" t="s">
        <v>48</v>
      </c>
      <c r="P86" s="3" t="s">
        <v>1379</v>
      </c>
      <c r="Q86" s="3" t="s">
        <v>49</v>
      </c>
      <c r="R86" s="3" t="s">
        <v>52</v>
      </c>
      <c r="S86" s="3" t="s">
        <v>51</v>
      </c>
      <c r="T86" s="3" t="s">
        <v>51</v>
      </c>
      <c r="U86" s="1" t="s">
        <v>1380</v>
      </c>
      <c r="V86" s="3" t="s">
        <v>1381</v>
      </c>
      <c r="W86" s="3" t="s">
        <v>42</v>
      </c>
      <c r="X86" s="3" t="s">
        <v>42</v>
      </c>
      <c r="Y86" s="3" t="s">
        <v>1382</v>
      </c>
      <c r="Z86" s="3" t="s">
        <v>1383</v>
      </c>
      <c r="AA86" s="3" t="s">
        <v>1384</v>
      </c>
      <c r="AB86" s="3" t="s">
        <v>1385</v>
      </c>
      <c r="AC86" s="3" t="s">
        <v>1386</v>
      </c>
      <c r="AD86" s="3"/>
      <c r="AE86" s="3" t="s">
        <v>51</v>
      </c>
      <c r="AF86" s="11">
        <v>46225</v>
      </c>
      <c r="AG86" s="3" t="s">
        <v>117</v>
      </c>
      <c r="AH86" s="3" t="s">
        <v>42</v>
      </c>
      <c r="AI86" s="3"/>
      <c r="AJ86" s="3" t="e">
        <f>LOWER(_xlfn.SINGLE(_xlfn.TEXTJOIN(" ", TRUE, B86, C86, F86,#REF!, G86, I86, J86, K86, L86, M86, N86, O86, P86, Q86, X86, Y86, Z86, AA86, AB86, AC86, AD86)))</f>
        <v>#REF!</v>
      </c>
    </row>
    <row r="87" spans="1:36" ht="71.25" customHeight="1">
      <c r="A87" s="1" t="s">
        <v>1387</v>
      </c>
      <c r="B87" s="8" t="s">
        <v>1388</v>
      </c>
      <c r="C87" s="3" t="s">
        <v>1389</v>
      </c>
      <c r="D87" s="4" t="s">
        <v>1390</v>
      </c>
      <c r="E87" s="1" t="s">
        <v>1391</v>
      </c>
      <c r="F87" s="3" t="s">
        <v>1392</v>
      </c>
      <c r="G87" s="3" t="s">
        <v>224</v>
      </c>
      <c r="H87" s="3" t="s">
        <v>62</v>
      </c>
      <c r="I87" s="3" t="s">
        <v>810</v>
      </c>
      <c r="J87" s="3" t="s">
        <v>1393</v>
      </c>
      <c r="K87" s="3" t="s">
        <v>1394</v>
      </c>
      <c r="L87" s="3" t="s">
        <v>795</v>
      </c>
      <c r="M87" s="3" t="s">
        <v>1395</v>
      </c>
      <c r="N87" s="3" t="s">
        <v>1396</v>
      </c>
      <c r="O87" s="3" t="s">
        <v>48</v>
      </c>
      <c r="P87" s="3" t="s">
        <v>48</v>
      </c>
      <c r="Q87" s="3" t="s">
        <v>1397</v>
      </c>
      <c r="R87" s="3" t="s">
        <v>52</v>
      </c>
      <c r="S87" s="3" t="s">
        <v>51</v>
      </c>
      <c r="T87" s="3" t="s">
        <v>51</v>
      </c>
      <c r="U87" s="1" t="s">
        <v>1398</v>
      </c>
      <c r="V87" s="3" t="s">
        <v>1399</v>
      </c>
      <c r="W87" s="3" t="s">
        <v>42</v>
      </c>
      <c r="X87" s="3" t="s">
        <v>42</v>
      </c>
      <c r="Y87" s="3" t="s">
        <v>1400</v>
      </c>
      <c r="Z87" s="3" t="s">
        <v>1401</v>
      </c>
      <c r="AA87" s="3" t="s">
        <v>1402</v>
      </c>
      <c r="AB87" s="3" t="s">
        <v>1403</v>
      </c>
      <c r="AC87" s="3" t="s">
        <v>1404</v>
      </c>
      <c r="AD87" s="3"/>
      <c r="AE87" s="3" t="s">
        <v>51</v>
      </c>
      <c r="AF87" s="11">
        <v>46226</v>
      </c>
      <c r="AG87" s="3" t="s">
        <v>117</v>
      </c>
      <c r="AH87" s="3" t="s">
        <v>42</v>
      </c>
      <c r="AI87" s="3"/>
      <c r="AJ87" s="3" t="str">
        <f t="shared" ref="AJ87:AJ96" si="3">LOWER(_xlfn.SINGLE(_xlfn.TEXTJOIN(" ", TRUE, B87, C87, E87, F87, G87, I87, J87, K87, L87, M87, N87, O87, P87, Q87, X87, Y87, Z87, AA87, AB87, AC87, AD87)))</f>
        <v>gridmet climatology lab, university of california, merced daily, spatially continuous gridded surface meteorological data for assigning temperature, precipitation, humidity, wind, solar radiation, evapotranspiration, vapor-pressure deficit, drought, and fire-weather conditions to locations and geographic areas. public annual netcdf downloads, wget-generated downloads, thredds/opendap services, climate engine access, usgs zarr services, and google earth engine; no approval required for direct files. open/public environmental exposure climate; weather; temperature; precipitation; humidity; wind; solar radiation; evapotranspiration; vapor pressure deficit; drought; wildfire; sdoh/geospatial; raster data; longitudinal data 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 environmental daily temperature; extreme heat; extreme cold; precipitation; heavy rainfall; humidity; vapor-pressure deficit; wind; solar radiation; evapotranspiration; drought; wildfire danger; fuel moisture; climate variability land areas and populations in the contiguous united states represented through approximately 4-kilometer gridded meteorological estimates united states united states approximately 4-kilometer raster grid cell high 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 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 prism climate data; noaa nclimgrid-daily and epinoaa; noaa climate data online; noaa storm events database; terraclimate; daymet; cdc heat and health tracker; epa airdata/aqs; usgs water data for the nation; fema national risk index; american community survey 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 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v>
      </c>
    </row>
    <row r="88" spans="1:36" ht="71.25" customHeight="1">
      <c r="A88" s="1" t="s">
        <v>1405</v>
      </c>
      <c r="B88" s="9" t="s">
        <v>1406</v>
      </c>
      <c r="C88" t="s">
        <v>1406</v>
      </c>
      <c r="D88" s="4" t="s">
        <v>1407</v>
      </c>
      <c r="E88" s="1" t="s">
        <v>1408</v>
      </c>
      <c r="F88" s="3" t="s">
        <v>1409</v>
      </c>
      <c r="G88" s="3" t="s">
        <v>224</v>
      </c>
      <c r="H88" s="3" t="s">
        <v>137</v>
      </c>
      <c r="I88" s="3" t="s">
        <v>810</v>
      </c>
      <c r="J88" s="3" t="s">
        <v>1410</v>
      </c>
      <c r="K88" s="3" t="s">
        <v>1411</v>
      </c>
      <c r="L88" s="3" t="s">
        <v>92</v>
      </c>
      <c r="M88" s="3" t="s">
        <v>1412</v>
      </c>
      <c r="N88" s="3" t="s">
        <v>1413</v>
      </c>
      <c r="O88" s="3" t="s">
        <v>48</v>
      </c>
      <c r="P88" s="3" t="s">
        <v>1414</v>
      </c>
      <c r="Q88" s="3" t="s">
        <v>49</v>
      </c>
      <c r="R88" s="12" t="s">
        <v>51</v>
      </c>
      <c r="S88" s="3" t="s">
        <v>51</v>
      </c>
      <c r="T88" s="3" t="s">
        <v>51</v>
      </c>
      <c r="U88" s="1" t="s">
        <v>1415</v>
      </c>
      <c r="V88" s="3" t="s">
        <v>1416</v>
      </c>
      <c r="W88" s="3" t="s">
        <v>42</v>
      </c>
      <c r="X88" s="3" t="s">
        <v>42</v>
      </c>
      <c r="Y88" s="3" t="s">
        <v>1417</v>
      </c>
      <c r="Z88" s="3" t="s">
        <v>1418</v>
      </c>
      <c r="AA88" s="3" t="s">
        <v>1419</v>
      </c>
      <c r="AB88" s="3" t="s">
        <v>1420</v>
      </c>
      <c r="AC88" s="3" t="s">
        <v>1421</v>
      </c>
      <c r="AD88" s="3"/>
      <c r="AE88" s="3" t="s">
        <v>60</v>
      </c>
      <c r="AF88" s="11">
        <v>46225</v>
      </c>
      <c r="AG88" s="3" t="s">
        <v>117</v>
      </c>
      <c r="AH88" s="3" t="s">
        <v>62</v>
      </c>
      <c r="AI88" s="3"/>
      <c r="AJ88" s="3" t="str">
        <f t="shared" si="3"/>
        <v>noaa storm events database noaa storm events database event-based database documenting severe storms, unusual weather phenomena, and other significant meteorological events, including event timing and location, reported injuries and fatalities, property and crop damage, event magnitude, and descriptive narratives. public interactive search, narrative search, annual bulk csv files, event-location files, fatality files, documentation, and archived storm data publications; no account required. open/public environmental exposure climate; weather; natural hazards; disasters; emergency preparedness; extreme heat; flooding; injury surveillance; mortality; sdoh/geospatial; event-level data; longitudinal data 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 registry/surveillance tornadoes; hurricanes; tropical storms; floods; flash floods; coastal flooding; storm surge; extreme heat; cold exposure; drought; wildfire; lightning; hail; damaging winds; heavy rain; winter storms; ice storms; rip currents; weather-related injuries; weather-related deaths; economic damage residents and communities in the united states and territories affected by recorded severe or significant weather events; records also cover marine areas and forecast zones united states county or parish; nws forecast zone; marine zone; event point or path; state or territory other high 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 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 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 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 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v>
      </c>
    </row>
    <row r="89" spans="1:36" ht="85.5" customHeight="1">
      <c r="A89" s="1" t="s">
        <v>1422</v>
      </c>
      <c r="B89" s="8" t="s">
        <v>1423</v>
      </c>
      <c r="C89" s="3" t="s">
        <v>1424</v>
      </c>
      <c r="D89" s="4" t="s">
        <v>1425</v>
      </c>
      <c r="E89" s="1" t="s">
        <v>1426</v>
      </c>
      <c r="F89" s="3" t="s">
        <v>1427</v>
      </c>
      <c r="G89" s="3" t="s">
        <v>224</v>
      </c>
      <c r="H89" s="3" t="s">
        <v>137</v>
      </c>
      <c r="I89" s="3" t="s">
        <v>339</v>
      </c>
      <c r="J89" s="3" t="s">
        <v>1428</v>
      </c>
      <c r="K89" s="3" t="s">
        <v>1429</v>
      </c>
      <c r="L89" s="3" t="s">
        <v>323</v>
      </c>
      <c r="M89" s="3" t="s">
        <v>1430</v>
      </c>
      <c r="N89" s="3" t="s">
        <v>1431</v>
      </c>
      <c r="O89" s="3" t="s">
        <v>48</v>
      </c>
      <c r="P89" s="3" t="s">
        <v>1432</v>
      </c>
      <c r="Q89" s="3" t="s">
        <v>327</v>
      </c>
      <c r="R89" s="3" t="s">
        <v>52</v>
      </c>
      <c r="S89" s="3" t="s">
        <v>51</v>
      </c>
      <c r="T89" s="3" t="s">
        <v>52</v>
      </c>
      <c r="U89" s="1" t="s">
        <v>1433</v>
      </c>
      <c r="V89" s="3" t="s">
        <v>1434</v>
      </c>
      <c r="W89" s="3" t="s">
        <v>42</v>
      </c>
      <c r="X89" s="3" t="s">
        <v>42</v>
      </c>
      <c r="Y89" s="3" t="s">
        <v>1435</v>
      </c>
      <c r="Z89" s="3" t="s">
        <v>1436</v>
      </c>
      <c r="AA89" s="3" t="s">
        <v>1437</v>
      </c>
      <c r="AB89" s="3" t="s">
        <v>1438</v>
      </c>
      <c r="AC89" s="3" t="s">
        <v>1439</v>
      </c>
      <c r="AD89" s="3"/>
      <c r="AE89" s="3" t="s">
        <v>51</v>
      </c>
      <c r="AF89" s="11">
        <v>46226</v>
      </c>
      <c r="AG89" s="3" t="s">
        <v>117</v>
      </c>
      <c r="AH89" s="3" t="s">
        <v>42</v>
      </c>
      <c r="AI89" s="3" t="s">
        <v>63</v>
      </c>
      <c r="AJ89" s="3" t="str">
        <f t="shared" si="3"/>
        <v>fema national risk index fema national risk index for natural hazards 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 public fema landing page, rapt gis web map, openfema downloadable files, fema arcgis county and census-tract feature layers, and technical documentation; no account required. open/public sdoh/geospatial environmental exposure; natural hazards; disaster risk; climate; social vulnerability; community resilience; emergency preparedness; hazard mitigation; resilience planning; area-level data 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 geospatial/area-level avalanche; coastal flooding; cold wave; drought; earthquake; hail; heat wave; hurricane; ice storm; inland flooding; landslide; lightning; strong wind; tornado; tsunami; volcanic activity; wildfire; winter weather; expected annual loss; social vulnerability; community resilience residents, buildings, agricultural assets, and communities in u.s. counties and census tracts, represented through area-level hazard exposure, expected annual loss, social vulnerability, and community resilience measures united states census tract; county; tribal census tract; state-level expected annual loss summaries, depending on product census tract high 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 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 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 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 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v>
      </c>
    </row>
    <row r="90" spans="1:36" ht="71.25" customHeight="1">
      <c r="A90" s="1" t="s">
        <v>1440</v>
      </c>
      <c r="B90" s="9" t="s">
        <v>1441</v>
      </c>
      <c r="C90" s="3" t="s">
        <v>1442</v>
      </c>
      <c r="D90" s="4" t="s">
        <v>1443</v>
      </c>
      <c r="E90" s="1" t="s">
        <v>1444</v>
      </c>
      <c r="F90" s="3" t="s">
        <v>1445</v>
      </c>
      <c r="G90" s="3" t="s">
        <v>224</v>
      </c>
      <c r="H90" s="3" t="s">
        <v>62</v>
      </c>
      <c r="I90" s="3" t="s">
        <v>810</v>
      </c>
      <c r="J90" s="3" t="s">
        <v>1446</v>
      </c>
      <c r="K90" s="3" t="s">
        <v>1447</v>
      </c>
      <c r="L90" s="3" t="s">
        <v>323</v>
      </c>
      <c r="M90" s="3" t="s">
        <v>1448</v>
      </c>
      <c r="N90" s="3" t="s">
        <v>1449</v>
      </c>
      <c r="O90" s="3" t="s">
        <v>48</v>
      </c>
      <c r="P90" s="3" t="s">
        <v>1450</v>
      </c>
      <c r="Q90" s="3" t="s">
        <v>49</v>
      </c>
      <c r="R90" s="3" t="s">
        <v>52</v>
      </c>
      <c r="S90" s="3" t="s">
        <v>51</v>
      </c>
      <c r="T90" s="3" t="s">
        <v>51</v>
      </c>
      <c r="U90" s="1" t="s">
        <v>1451</v>
      </c>
      <c r="V90" s="3" t="s">
        <v>1452</v>
      </c>
      <c r="W90" s="3" t="s">
        <v>42</v>
      </c>
      <c r="X90" s="3" t="s">
        <v>42</v>
      </c>
      <c r="Y90" s="3" t="s">
        <v>1453</v>
      </c>
      <c r="Z90" s="3" t="s">
        <v>1454</v>
      </c>
      <c r="AA90" s="3" t="s">
        <v>1455</v>
      </c>
      <c r="AB90" s="3" t="s">
        <v>1456</v>
      </c>
      <c r="AC90" s="3" t="s">
        <v>1457</v>
      </c>
      <c r="AD90" s="3"/>
      <c r="AE90" s="3"/>
      <c r="AF90" s="11">
        <v>46226</v>
      </c>
      <c r="AG90" s="3" t="s">
        <v>117</v>
      </c>
      <c r="AH90" s="3" t="s">
        <v>42</v>
      </c>
      <c r="AI90" s="3" t="s">
        <v>63</v>
      </c>
      <c r="AJ90" s="3" t="str">
        <f t="shared" si="3"/>
        <v>usgs / mrlc national land cover database (nlcd) mrlc annual national land cover database annual 30-meter raster data describing land cover, land-cover change, classification confidence, and impervious surfaces for analyzing urbanization, development, vegetation, wetlands, environmental context, and changes in the land surface over time. public mrlc viewer and area-of-interest downloads, geotiff raster files, usgs earthexplorer, sciencebase archives, aws cloud storage, and geospatial web services; no approval required. open/public environmental exposure sdoh/geospatial; land cover; land use; built environment; impervious surface; urbanization; greenspace; forest; wetlands; agriculture; remote sensing; raster data; longitudinal data 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 geospatial/area-level land cover; land-cover change; developed land; urbanization; impervious surfaces; roads; open water; forest; shrubland; grassland; pasture; cultivated crops; wetlands; greenspace; land-surface disturbance land areas and communities in the conterminous united states represented through 30-meter land-cover raster cells united states 30-meter raster grid cell; current annual nlcd core coverage is the conterminous united states other high 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 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 epa enviroatlas; epa ejscreen; cdc/atsdr environmental justice index; american community survey; census tiger/line; prism climate data; gridmet; noaa nclimgrid/epinoaa; fema national risk index; epa waters/nhdplus; usgs landsat; usda cropland data layer; usfs tree canopy cover data 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 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v>
      </c>
    </row>
    <row r="91" spans="1:36" ht="71.25" customHeight="1">
      <c r="A91" s="1" t="s">
        <v>1458</v>
      </c>
      <c r="B91" s="8" t="s">
        <v>1459</v>
      </c>
      <c r="C91" t="s">
        <v>1460</v>
      </c>
      <c r="D91" s="4" t="s">
        <v>1461</v>
      </c>
      <c r="E91" s="1" t="s">
        <v>1462</v>
      </c>
      <c r="F91" s="3" t="s">
        <v>1463</v>
      </c>
      <c r="G91" s="3" t="s">
        <v>224</v>
      </c>
      <c r="H91" s="3" t="s">
        <v>62</v>
      </c>
      <c r="I91" s="3" t="s">
        <v>339</v>
      </c>
      <c r="J91" s="3" t="s">
        <v>1464</v>
      </c>
      <c r="K91" s="3" t="s">
        <v>1465</v>
      </c>
      <c r="L91" s="3" t="s">
        <v>323</v>
      </c>
      <c r="M91" s="3" t="s">
        <v>1466</v>
      </c>
      <c r="N91" s="3" t="s">
        <v>1467</v>
      </c>
      <c r="O91" s="3" t="s">
        <v>48</v>
      </c>
      <c r="P91" s="3" t="s">
        <v>1468</v>
      </c>
      <c r="Q91" s="3" t="s">
        <v>49</v>
      </c>
      <c r="R91" s="3" t="s">
        <v>52</v>
      </c>
      <c r="S91" s="3" t="s">
        <v>51</v>
      </c>
      <c r="T91" s="3" t="s">
        <v>52</v>
      </c>
      <c r="U91" s="14" t="s">
        <v>1469</v>
      </c>
      <c r="V91" s="3" t="s">
        <v>1470</v>
      </c>
      <c r="W91" s="3" t="s">
        <v>42</v>
      </c>
      <c r="X91" s="3" t="s">
        <v>62</v>
      </c>
      <c r="Y91" s="3" t="s">
        <v>1471</v>
      </c>
      <c r="Z91" s="3" t="s">
        <v>1472</v>
      </c>
      <c r="AA91" s="3" t="s">
        <v>1473</v>
      </c>
      <c r="AB91" s="3" t="s">
        <v>1474</v>
      </c>
      <c r="AC91" s="3" t="s">
        <v>1475</v>
      </c>
      <c r="AD91" s="3"/>
      <c r="AE91" s="3" t="s">
        <v>60</v>
      </c>
      <c r="AF91" s="11">
        <v>46226</v>
      </c>
      <c r="AG91" s="3" t="s">
        <v>117</v>
      </c>
      <c r="AH91" s="3" t="s">
        <v>137</v>
      </c>
      <c r="AI91" s="3" t="s">
        <v>63</v>
      </c>
      <c r="AJ91" s="3" t="str">
        <f t="shared" si="3"/>
        <v>usgs protected areas database of the u.s. (pad-us) usgs pad-us data overview and downloads national geospatial inventory of public lands, protected areas, conservation easements, marine protected areas, management designations, and other open-space lands and waters, including conservation status, ownership or management, and general public-access information. public national and state geodatabases, vector and raster analysis files, kmz files, arcgis web services, interactive data explorer, and summary-statistics dashboard. open/public sdoh/geospatial environmental exposure; protected areas; public lands; parks; open space; greenspace; recreation access; biodiversity; conservation; land management; cultural resources; emergency planning 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 geospatial/area-level protected lands; public lands; parks; open space; recreation access; biodiversity conservation; land ownership; land management; conservation easements; wilderness; natural-resource management; marine protected areas; cultural and historic areas residents and communities located near, or potentially served by, public lands, protected areas, parks, conservation lands, and other open-space lands and waters united states protected-area or management-boundary polygon; public-land parcel; conservation easement; marine protected area; county; state other medium 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 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 annual national land cover database; epa enviroatlas; trust for public land parkserve; american community survey; census tiger/line; cdc/atsdr environmental justice index; epa ejscreen; fema national risk index; usgs national map; state and local parks or recreation datasets 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 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v>
      </c>
    </row>
    <row r="92" spans="1:36" ht="99.75" customHeight="1">
      <c r="A92" s="1" t="s">
        <v>1476</v>
      </c>
      <c r="B92" s="9" t="s">
        <v>1477</v>
      </c>
      <c r="C92" s="3" t="s">
        <v>1478</v>
      </c>
      <c r="D92" s="4" t="s">
        <v>1479</v>
      </c>
      <c r="E92" s="1" t="s">
        <v>1480</v>
      </c>
      <c r="F92" s="3" t="s">
        <v>1481</v>
      </c>
      <c r="G92" s="3" t="s">
        <v>224</v>
      </c>
      <c r="H92" s="3" t="s">
        <v>62</v>
      </c>
      <c r="I92" s="3" t="s">
        <v>810</v>
      </c>
      <c r="J92" s="3" t="s">
        <v>1482</v>
      </c>
      <c r="K92" s="3" t="s">
        <v>1483</v>
      </c>
      <c r="L92" s="3" t="s">
        <v>795</v>
      </c>
      <c r="M92" s="3" t="s">
        <v>1482</v>
      </c>
      <c r="N92" s="3" t="s">
        <v>1483</v>
      </c>
      <c r="O92" s="3" t="s">
        <v>48</v>
      </c>
      <c r="P92" t="s">
        <v>1484</v>
      </c>
      <c r="Q92" s="3" t="s">
        <v>293</v>
      </c>
      <c r="R92" s="3" t="s">
        <v>52</v>
      </c>
      <c r="S92" s="3" t="s">
        <v>51</v>
      </c>
      <c r="T92" s="3" t="s">
        <v>51</v>
      </c>
      <c r="U92" s="1" t="s">
        <v>1485</v>
      </c>
      <c r="V92" s="3" t="s">
        <v>1486</v>
      </c>
      <c r="W92" s="3" t="s">
        <v>62</v>
      </c>
      <c r="X92" s="3" t="s">
        <v>62</v>
      </c>
      <c r="Y92" s="3" t="s">
        <v>1487</v>
      </c>
      <c r="Z92" s="3" t="s">
        <v>1488</v>
      </c>
      <c r="AA92" s="3" t="s">
        <v>1489</v>
      </c>
      <c r="AB92" s="3" t="s">
        <v>1490</v>
      </c>
      <c r="AC92" s="3" t="s">
        <v>1491</v>
      </c>
      <c r="AD92" s="3"/>
      <c r="AE92" s="3" t="s">
        <v>60</v>
      </c>
      <c r="AF92" s="11">
        <v>46226</v>
      </c>
      <c r="AG92" s="3" t="s">
        <v>117</v>
      </c>
      <c r="AH92" s="3" t="s">
        <v>62</v>
      </c>
      <c r="AI92" s="3" t="s">
        <v>63</v>
      </c>
      <c r="AJ92" s="3" t="str">
        <f t="shared" si="3"/>
        <v>usgs estimated annual agricultural pesticide use usgs / mrlc 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 public interactive pesticide maps, annual county-level tab-delimited data files, state-level crop-group tables, usgs data releases, metadata, and methodological documentation; no registration required. open/public environmental exposure agricultural pesticide use; herbicides; insecticides; fungicides; crop chemicals; pesticide trends; agricultural chemical loading; surface-water contamination potential; groundwater contamination potential; rural environmental exposure agricultural lands and populations living, working, obtaining water, or receiving services in areas where agricultural pesticides are estimated to be used environmental agricultural pesticide use; herbicides; insecticides; fungicides; crop chemicals; pesticide trends; agricultural chemical loading; surface-water contamination potential; groundwater contamination potential; rural environmental exposure agricultural lands and populations living, working, obtaining water, or receiving services in areas where agricultural pesticides are estimated to be used united states county; agricultural land within county for mapped displays; state and crop group for selected summaries county medium pesticide compound name; year; state fips code; county fips code; low estimated use in kilograms; high estimated use in kilograms; state; county; crop or crop group in state-level files; mapped agricultural area; preliminary or final estimate status 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 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 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 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v>
      </c>
    </row>
    <row r="93" spans="1:36" ht="42.75" customHeight="1">
      <c r="A93" s="1" t="s">
        <v>1492</v>
      </c>
      <c r="B93" s="9" t="s">
        <v>1493</v>
      </c>
      <c r="C93" s="3" t="s">
        <v>1494</v>
      </c>
      <c r="D93" s="15" t="s">
        <v>1495</v>
      </c>
      <c r="E93" s="14" t="s">
        <v>1496</v>
      </c>
      <c r="F93" t="s">
        <v>1497</v>
      </c>
      <c r="G93" s="3" t="s">
        <v>905</v>
      </c>
      <c r="H93" t="s">
        <v>62</v>
      </c>
      <c r="I93" t="s">
        <v>937</v>
      </c>
      <c r="J93" t="s">
        <v>1498</v>
      </c>
      <c r="K93" t="s">
        <v>1499</v>
      </c>
      <c r="L93" s="3" t="s">
        <v>323</v>
      </c>
      <c r="M93" t="s">
        <v>1500</v>
      </c>
      <c r="N93" t="s">
        <v>1501</v>
      </c>
      <c r="O93" t="s">
        <v>1502</v>
      </c>
      <c r="P93" s="3" t="s">
        <v>1502</v>
      </c>
      <c r="Q93" t="s">
        <v>49</v>
      </c>
      <c r="R93" t="s">
        <v>52</v>
      </c>
      <c r="S93" t="s">
        <v>51</v>
      </c>
      <c r="T93" t="s">
        <v>52</v>
      </c>
      <c r="U93" s="14" t="s">
        <v>1503</v>
      </c>
      <c r="V93" t="s">
        <v>1504</v>
      </c>
      <c r="W93" t="s">
        <v>42</v>
      </c>
      <c r="X93" t="s">
        <v>42</v>
      </c>
      <c r="Y93" t="s">
        <v>1505</v>
      </c>
      <c r="Z93" t="s">
        <v>1506</v>
      </c>
      <c r="AA93" t="s">
        <v>1507</v>
      </c>
      <c r="AB93" t="s">
        <v>1508</v>
      </c>
      <c r="AC93" t="s">
        <v>1509</v>
      </c>
      <c r="AE93" s="3" t="s">
        <v>51</v>
      </c>
      <c r="AF93" s="11">
        <v>46226</v>
      </c>
      <c r="AG93" t="s">
        <v>117</v>
      </c>
      <c r="AH93" t="s">
        <v>42</v>
      </c>
      <c r="AI93" s="3" t="s">
        <v>63</v>
      </c>
      <c r="AJ93" s="3" t="str">
        <f t="shared" si="3"/>
        <v>south carolina department of environmental services gis hub scdes gis hub statewide environmental gis hub for discovering, viewing, analyzing, downloading, and accessing scdes maps, dashboards, applications, datasets, apis, and gis services public access without authentication for public datasets; downloads may include csv, kml, zip, geojson, geotiff, and png, with geoservices, wms, and wfs links available for applicable layers. open/public with terms south carolina/local data environmental exposure; sdoh/geospatial; air quality; water quality; coastal resources; land and waste; permits; monitoring; regulatory facilities south carolina environmental gis, scdes, air quality, water quality, coastal gis, hazardous waste, landfills, mines, permits, monitoring stations, pfas, dams, watersheds, arcgis geospatial/area-level air, water, coastal management, land and waste management, environmental monitoring, regulated facilities, permits, contamination, watersheds and environmental hazards south carolina environmental features, monitoring locations, regulated facilities, permitted sites, water bodies, coastal areas and communities monitoring site, facility, permit location, water body, watershed, coastal feature, parcel, point, line, polygon or raster; varies by layer monitoring site, facility, permit location, water body, watershed, coastal feature, parcel, point, line, polygon or raster; varies by layer other high coordinates, facility or site name, permit identifiers, environmental-program category, monitoring location, watershed, water body, county, status, boundaries, pollutant or parameter attributes and application-specific measures environmental-exposure linkage; proximity and buffer analysis; mapping regulated facilities; watershed and coastal analyses; environmental-justice research; identifying permits, monitoring sites and potential exposure sources epa echo; epa frs; epa tri; water quality portal; attains; how’s my waterway; scdnr gis open data; annual nlcd; fema national risk index; american community survey 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 public data generally do not require authentication, but service use may be logged. review each layer’s metadata, attribution and terms; do not attempt to access nonpublic underlying systems or data.</v>
      </c>
    </row>
    <row r="94" spans="1:36" ht="42.75" customHeight="1">
      <c r="A94" s="1" t="s">
        <v>1510</v>
      </c>
      <c r="B94" s="8" t="s">
        <v>1511</v>
      </c>
      <c r="C94" s="3" t="s">
        <v>1512</v>
      </c>
      <c r="D94" s="4" t="s">
        <v>1513</v>
      </c>
      <c r="E94" s="1" t="s">
        <v>1514</v>
      </c>
      <c r="F94" s="3" t="s">
        <v>1515</v>
      </c>
      <c r="G94" s="3" t="s">
        <v>224</v>
      </c>
      <c r="H94" s="3" t="s">
        <v>62</v>
      </c>
      <c r="I94" s="3" t="s">
        <v>937</v>
      </c>
      <c r="J94" s="3" t="s">
        <v>1516</v>
      </c>
      <c r="K94" s="3" t="s">
        <v>1517</v>
      </c>
      <c r="L94" s="3" t="s">
        <v>795</v>
      </c>
      <c r="M94" s="3" t="s">
        <v>1518</v>
      </c>
      <c r="N94" s="3" t="s">
        <v>1519</v>
      </c>
      <c r="O94" s="3" t="s">
        <v>942</v>
      </c>
      <c r="P94" s="3" t="s">
        <v>1520</v>
      </c>
      <c r="Q94" s="3" t="s">
        <v>49</v>
      </c>
      <c r="R94" s="3" t="s">
        <v>52</v>
      </c>
      <c r="S94" s="3" t="s">
        <v>51</v>
      </c>
      <c r="T94" s="3" t="s">
        <v>51</v>
      </c>
      <c r="U94" s="1" t="s">
        <v>1521</v>
      </c>
      <c r="V94" s="3" t="s">
        <v>1522</v>
      </c>
      <c r="W94" s="3" t="s">
        <v>42</v>
      </c>
      <c r="X94" s="3" t="s">
        <v>42</v>
      </c>
      <c r="Y94" s="3" t="s">
        <v>1523</v>
      </c>
      <c r="Z94" s="3" t="s">
        <v>1524</v>
      </c>
      <c r="AA94" s="3" t="s">
        <v>1525</v>
      </c>
      <c r="AB94" s="3" t="s">
        <v>1526</v>
      </c>
      <c r="AC94" s="3" t="s">
        <v>1527</v>
      </c>
      <c r="AD94" s="3"/>
      <c r="AE94" s="3" t="s">
        <v>60</v>
      </c>
      <c r="AF94" s="11">
        <v>46226</v>
      </c>
      <c r="AG94" s="3" t="s">
        <v>117</v>
      </c>
      <c r="AH94" s="3" t="s">
        <v>62</v>
      </c>
      <c r="AI94" s="3" t="s">
        <v>63</v>
      </c>
      <c r="AJ94" s="3" t="str">
        <f t="shared" si="3"/>
        <v>south carolina water monitoring portal usda ers arcgis-based statewide application for visualizing, filtering and downloading south carolina water-quality monitoring results public interactive map with filters for water-quality category, sample date, submitting organization, county, watershed and sub-watershed; users may download selected data. open/public south carolina/local data environmental exposure; water quality; surface water; monitoring sites; watersheds; bacteria; nutrients; impaired waters; tmdls south carolina water quality, water monitoring, sc sea grant, college of charleston, water quality portal, monitoring stations, bacteria, nutrients, county, huc10, huc12, watershed, impaired waters, tmdl environmental surface-water quality, monitoring locations, physical and chemical parameters, bacteria, nutrients, watershed conditions, impaired waters and tmdls south carolina water-quality monitoring sites, samples, water bodies and watersheds south carolina monitoring site, sample location, county, watershed, sub-watershed and water body other high monitoring-site identifier, coordinates, collection date, submitting organization, county, watershed, parameter or characteristic name, result value, unit, sample medium and water-quality category link water-quality measurements to communities or health outcomes; identify monitoring coverage; evaluate spatial and temporal water-quality trends; examine bacteria or nutrient measurements; support watershed and environmental-exposure studies national water quality portal; scdes gis hub; scdes watershed atlas; attains; how’s my waterway; waters; usgs stream gauges; census tiger/line; american community survey 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 public environmental-monitoring data. retain the submitting-organization identifier, site identifier, result qualifiers, units, analytical method and detection-limit fields. use the original provider or national water quality portal for reproducible extraction and source verification</v>
      </c>
    </row>
    <row r="95" spans="1:36" ht="57" customHeight="1">
      <c r="A95" s="1" t="s">
        <v>1528</v>
      </c>
      <c r="B95" s="9" t="s">
        <v>1529</v>
      </c>
      <c r="C95" s="3" t="s">
        <v>1530</v>
      </c>
      <c r="D95" s="4" t="s">
        <v>1531</v>
      </c>
      <c r="E95" s="1" t="s">
        <v>1532</v>
      </c>
      <c r="F95" s="3" t="s">
        <v>1533</v>
      </c>
      <c r="G95" s="3" t="s">
        <v>905</v>
      </c>
      <c r="H95" s="3" t="s">
        <v>62</v>
      </c>
      <c r="I95" s="3" t="s">
        <v>937</v>
      </c>
      <c r="J95" s="3" t="s">
        <v>1534</v>
      </c>
      <c r="K95" s="3" t="s">
        <v>1535</v>
      </c>
      <c r="L95" s="3" t="s">
        <v>323</v>
      </c>
      <c r="M95" s="3" t="s">
        <v>1536</v>
      </c>
      <c r="N95" s="3" t="s">
        <v>1537</v>
      </c>
      <c r="O95" s="3" t="s">
        <v>942</v>
      </c>
      <c r="P95" s="3" t="s">
        <v>1538</v>
      </c>
      <c r="Q95" s="3" t="s">
        <v>49</v>
      </c>
      <c r="R95" s="3" t="s">
        <v>52</v>
      </c>
      <c r="S95" s="3" t="s">
        <v>51</v>
      </c>
      <c r="T95" s="3" t="s">
        <v>52</v>
      </c>
      <c r="U95" s="1" t="s">
        <v>1539</v>
      </c>
      <c r="V95" s="3" t="s">
        <v>1540</v>
      </c>
      <c r="W95" s="3" t="s">
        <v>42</v>
      </c>
      <c r="X95" s="3" t="s">
        <v>42</v>
      </c>
      <c r="Y95" s="3" t="s">
        <v>1541</v>
      </c>
      <c r="Z95" s="3" t="s">
        <v>1542</v>
      </c>
      <c r="AA95" s="3" t="s">
        <v>1543</v>
      </c>
      <c r="AB95" s="3" t="s">
        <v>1544</v>
      </c>
      <c r="AC95" s="3" t="s">
        <v>1545</v>
      </c>
      <c r="AD95" s="3"/>
      <c r="AE95" s="3" t="s">
        <v>51</v>
      </c>
      <c r="AF95" s="11">
        <v>46226</v>
      </c>
      <c r="AG95" s="3" t="s">
        <v>117</v>
      </c>
      <c r="AH95" s="3" t="s">
        <v>42</v>
      </c>
      <c r="AI95" s="3" t="s">
        <v>63</v>
      </c>
      <c r="AJ95" s="3" t="str">
        <f t="shared" si="3"/>
        <v>south carolina department of natural resources gis open data scdnr arcgis online statewide gis layers, web maps, applications and spatial services covering natural resources, geology, hydrology, wildlife, habitats, public lands, elevation and related environmental features public arcgis online content, web maps, map services and downloadable gis products; availability and formats vary by layer, and some specialized products require a request open/public with terms south carolina/local data environmental exposure; sdoh/geospatial; hydrology; geology; wildlife; habitats; public lands; elevation south carolina gis, scdnr, natural resources, wildlife, habitat, hydrology, geology, public lands, lidar, elevation, wetlands, coastal resources, arcgis geospatial/area-level natural resources, land and water resources, biodiversity, coastal resources, geology, elevation, managed lands and environmental context south carolina environment, natural resources, wildlife habitats, water resources, land areas and managed properties south carolina statewide layers; county; watershed; parcel or managed-land tract; point, line, polygon, raster and site-specific features other high coordinates, boundaries, land ownership or management, habitat type, hydrography, elevation, geology, wells, protected lands, species or biological resources and layer-specific attributes environmental exposure linkage; proximity and buffer analysis; rural and natural-resource context; watershed linkage; public-land access; habitat and coastal analyses; map development scdes gis hub; epa enviroatlas; annual nlcd; pad-us; wqp; fema national risk index; census tiger/line; acs broad portal rather than one standardized dataset; metadata, dates, resolution, completeness and update schedules differ by layer; boundaries may not be legally authoritative; some older products remain available; specialized gis software may be required public data are generally provided as-is; review each layer’s metadata, use limitations, attribution requirements and positional-accuracy statements before analysis</v>
      </c>
    </row>
    <row r="96" spans="1:36" ht="85.5" customHeight="1">
      <c r="A96" s="1" t="s">
        <v>1546</v>
      </c>
      <c r="B96" s="8" t="s">
        <v>1547</v>
      </c>
      <c r="C96" s="3" t="s">
        <v>1548</v>
      </c>
      <c r="D96" s="4" t="s">
        <v>934</v>
      </c>
      <c r="E96" s="1" t="s">
        <v>1549</v>
      </c>
      <c r="F96" s="3" t="s">
        <v>1550</v>
      </c>
      <c r="G96" s="3" t="s">
        <v>224</v>
      </c>
      <c r="H96" s="3" t="s">
        <v>137</v>
      </c>
      <c r="I96" s="3" t="s">
        <v>937</v>
      </c>
      <c r="J96" s="3" t="s">
        <v>1551</v>
      </c>
      <c r="K96" s="3" t="s">
        <v>1552</v>
      </c>
      <c r="L96" s="3" t="s">
        <v>290</v>
      </c>
      <c r="M96" s="3" t="s">
        <v>1553</v>
      </c>
      <c r="N96" s="3" t="s">
        <v>1554</v>
      </c>
      <c r="O96" s="3" t="s">
        <v>942</v>
      </c>
      <c r="P96" s="3" t="s">
        <v>1555</v>
      </c>
      <c r="Q96" s="3" t="s">
        <v>294</v>
      </c>
      <c r="R96" s="3" t="s">
        <v>52</v>
      </c>
      <c r="S96" s="3" t="s">
        <v>51</v>
      </c>
      <c r="T96" s="3" t="s">
        <v>51</v>
      </c>
      <c r="U96" s="1" t="s">
        <v>1556</v>
      </c>
      <c r="V96" s="3" t="s">
        <v>1557</v>
      </c>
      <c r="W96" s="3" t="s">
        <v>42</v>
      </c>
      <c r="X96" s="3" t="s">
        <v>42</v>
      </c>
      <c r="Y96" s="3" t="s">
        <v>1558</v>
      </c>
      <c r="Z96" s="3" t="s">
        <v>1559</v>
      </c>
      <c r="AA96" s="3" t="s">
        <v>1560</v>
      </c>
      <c r="AB96" s="3" t="s">
        <v>1561</v>
      </c>
      <c r="AC96" s="3" t="s">
        <v>1562</v>
      </c>
      <c r="AD96" s="3"/>
      <c r="AE96" s="3" t="s">
        <v>51</v>
      </c>
      <c r="AF96" s="11">
        <v>46226</v>
      </c>
      <c r="AG96" s="3" t="s">
        <v>117</v>
      </c>
      <c r="AH96" s="3" t="s">
        <v>42</v>
      </c>
      <c r="AI96" s="3" t="s">
        <v>63</v>
      </c>
      <c r="AJ96" s="3" t="str">
        <f t="shared" si="3"/>
        <v>south carolina dph data, maps, reports sc sea grant / college of charleston central portal for south carolina public-health dashboards, surveillance reports, statistics, maps and topic-specific data products public dashboards, reports, maps and downloadable summary tables; confidential or record-level health data are not generally distributed through the public portal open/public south carolina/local data chronic disease; cancer; maternal/child health; mental health; substance use; hiv/infectious disease; environmental health; vital statistics south carolina public health, scdph, health dashboard, county health, vital statistics, disease surveillance, hiv, aids, std, mortality, births, environmental health reports/dashboard population health, disease surveillance, mortality, morbidity, maternal and child health, infectious disease, hiv/stis, overdose, environmental health and health-care indicators south carolina residents and topic-specific subpopulations represented in public-health surveillance systems south carolina state, county, health region and other topic-specific reporting geographies report/dashboard high counts, rates, percentages, prevalence, incidence, mortality, demographics, age, sex, race/ethnicity, county, year, disease indicators, risk factors and health outcomes county health profiles; public-health needs assessment; disease-trend analysis; hiv and infectious-disease context; disparity analysis; surveillance summaries; grant and program planning cdc places; cdc wonder; cdc atlasplus; brfss; acs; county health rankings; south carolina health compass; sc tracking; south carolina vital-statistics reports broad collection rather than one harmonized dataset; definitions, denominators, periods and update schedules differ by program; dashboards may suppress unstable or confidential estimates; some reports provide pdfs rather than analysis-ready files public products are primarily aggregated or de-identified; small counts may be suppressed; access to identifiable surveillance, vital-record or patient-level data requires separate authorization and governance review</v>
      </c>
    </row>
    <row r="97" spans="1:36" ht="42.75" customHeight="1">
      <c r="A97" s="1" t="s">
        <v>1563</v>
      </c>
      <c r="B97" s="9" t="s">
        <v>1529</v>
      </c>
      <c r="C97" s="3" t="s">
        <v>1564</v>
      </c>
      <c r="D97" s="4" t="s">
        <v>1565</v>
      </c>
      <c r="E97" s="1" t="s">
        <v>1566</v>
      </c>
      <c r="F97" s="3" t="s">
        <v>1567</v>
      </c>
      <c r="G97" s="3" t="s">
        <v>224</v>
      </c>
      <c r="H97" s="3" t="s">
        <v>137</v>
      </c>
      <c r="I97" s="3" t="s">
        <v>937</v>
      </c>
      <c r="J97" s="3" t="s">
        <v>1568</v>
      </c>
      <c r="K97" s="3" t="s">
        <v>1569</v>
      </c>
      <c r="L97" s="3" t="s">
        <v>323</v>
      </c>
      <c r="M97" s="3" t="s">
        <v>1570</v>
      </c>
      <c r="N97" s="3" t="s">
        <v>1571</v>
      </c>
      <c r="O97" s="3" t="s">
        <v>942</v>
      </c>
      <c r="P97" s="3" t="s">
        <v>1572</v>
      </c>
      <c r="Q97" s="3" t="s">
        <v>49</v>
      </c>
      <c r="R97" s="3" t="s">
        <v>52</v>
      </c>
      <c r="S97" s="3" t="s">
        <v>51</v>
      </c>
      <c r="T97" s="3" t="s">
        <v>52</v>
      </c>
      <c r="U97" s="1" t="s">
        <v>1573</v>
      </c>
      <c r="V97" s="3" t="s">
        <v>1574</v>
      </c>
      <c r="W97" s="3" t="s">
        <v>42</v>
      </c>
      <c r="X97" s="3" t="s">
        <v>42</v>
      </c>
      <c r="Y97" s="3" t="s">
        <v>1575</v>
      </c>
      <c r="Z97" s="3" t="s">
        <v>1576</v>
      </c>
      <c r="AA97" s="3" t="s">
        <v>1577</v>
      </c>
      <c r="AB97" s="3" t="s">
        <v>1578</v>
      </c>
      <c r="AC97" s="3" t="s">
        <v>1579</v>
      </c>
      <c r="AD97" s="3"/>
      <c r="AE97" s="3" t="s">
        <v>51</v>
      </c>
      <c r="AF97" s="11">
        <v>46226</v>
      </c>
      <c r="AG97" s="3" t="s">
        <v>117</v>
      </c>
      <c r="AH97" s="3" t="s">
        <v>42</v>
      </c>
      <c r="AI97" s="3" t="s">
        <v>63</v>
      </c>
      <c r="AJ97" s="3" t="str">
        <f>LOWER(_xlfn.SINGLE(_xlfn.TEXTJOIN(" ", TRUE, B93, C93, E97, F97, G97, I97, J97, K97, L97, M97, N97, O97, P97, Q97, X97, Y97, Z97, AA97, AB97, AC97, AD97)))</f>
        <v>south carolina department of environmental services gis hub scdes gis hub public gis hub for discovering, viewing, downloading, and accessing south carolina natural-resource and environmental spatial datasets public arcgis hub; downloadable formats include csv, kml, zip, geojson, geotiff, and png; geoservices, wms, wfs, and other api links may be available by layer open/public south carolina/local data environmental exposure; sdoh/geospatial; land cover; geology; hydrology; biodiversity; wildlife; coastal resources; public lands scdnr, south carolina gis, natural resources, environmental gis, geology, hydrology, wildlife, habitat, public lands, coastal resources, land cover, lidar, arcgis geospatial/area-level natural resources, land cover, geology, elevation, hydrography, habitats, wildlife, fisheries, coastal resources, public lands and recreational access south carolina lands, waters, natural resources, habitats, wildlife populations and managed properties south carolina points, sites, lines, polygons, watersheds, counties, managed-land tracts and raster grid cells; varies by layer other high coordinates, feature boundaries, area, land-cover class, elevation, geology, hydrography, habitat type, species-related attributes, ownership or management status, facility or access-point characteristics environmental and geographic linkage; proximity and buffer analysis; watershed context; habitat and biodiversity research; public-land and recreation access; rural and coastal analyses scdes gis hub; annual nlcd; pad-us; water quality portal; prism; gridmet; fema national risk index; census tiger/line; american community survey portal contains many independently produced layers; vintages, completeness, resolution, coordinate systems and update schedules differ; some layers are historical; mapped boundaries may not represent legal property boundaries review each layer’s metadata, attribution, license and use constraints; retain source agency and dataset version; do not treat reference boundaries as legally authoritative</v>
      </c>
    </row>
    <row r="98" spans="1:36" ht="42.75" customHeight="1">
      <c r="A98" s="1" t="s">
        <v>1580</v>
      </c>
      <c r="B98" s="8" t="s">
        <v>1547</v>
      </c>
      <c r="C98" s="3" t="s">
        <v>1581</v>
      </c>
      <c r="D98" s="4" t="s">
        <v>1582</v>
      </c>
      <c r="E98" s="1" t="s">
        <v>1583</v>
      </c>
      <c r="F98" s="3" t="s">
        <v>1584</v>
      </c>
      <c r="G98" s="3" t="s">
        <v>224</v>
      </c>
      <c r="H98" s="3" t="s">
        <v>137</v>
      </c>
      <c r="I98" s="3" t="s">
        <v>937</v>
      </c>
      <c r="J98" s="3" t="s">
        <v>1585</v>
      </c>
      <c r="K98" s="3" t="s">
        <v>1586</v>
      </c>
      <c r="L98" s="3" t="s">
        <v>290</v>
      </c>
      <c r="M98" s="3" t="s">
        <v>1587</v>
      </c>
      <c r="N98" s="3" t="s">
        <v>1588</v>
      </c>
      <c r="O98" s="3" t="s">
        <v>942</v>
      </c>
      <c r="P98" s="3" t="s">
        <v>1589</v>
      </c>
      <c r="Q98" s="3" t="s">
        <v>294</v>
      </c>
      <c r="R98" s="3" t="s">
        <v>52</v>
      </c>
      <c r="S98" s="3" t="s">
        <v>51</v>
      </c>
      <c r="T98" s="3" t="s">
        <v>52</v>
      </c>
      <c r="U98" s="1" t="s">
        <v>1590</v>
      </c>
      <c r="V98" s="3" t="s">
        <v>1591</v>
      </c>
      <c r="W98" s="3" t="s">
        <v>62</v>
      </c>
      <c r="X98" s="3" t="s">
        <v>42</v>
      </c>
      <c r="Y98" s="3" t="s">
        <v>1592</v>
      </c>
      <c r="Z98" s="3" t="s">
        <v>1593</v>
      </c>
      <c r="AA98" s="3" t="s">
        <v>1594</v>
      </c>
      <c r="AB98" s="3" t="s">
        <v>1595</v>
      </c>
      <c r="AC98" s="3" t="s">
        <v>1596</v>
      </c>
      <c r="AD98" s="3"/>
      <c r="AE98" s="3" t="s">
        <v>60</v>
      </c>
      <c r="AF98" s="11">
        <v>46226</v>
      </c>
      <c r="AG98" s="3" t="s">
        <v>117</v>
      </c>
      <c r="AH98" s="3" t="s">
        <v>62</v>
      </c>
      <c r="AI98" s="3" t="s">
        <v>63</v>
      </c>
      <c r="AJ98" s="3" t="str">
        <f t="shared" ref="AJ98:AJ107" si="4">LOWER(_xlfn.SINGLE(_xlfn.TEXTJOIN(" ", TRUE, B98, C98, E98, F98, G98, I98, J98, K98, L98, M98, N98, O98, P98, Q98, X98, Y98, Z98, AA98, AB98, AC98, AD98)))</f>
        <v>south carolina dph data, maps, reports data, maps, reports public landing page for interactive health applications, service-location maps, monitoring tools, assessments and other south carolina public-health mapping products public web applications and interactive maps; download, api and export functionality vary by individual application; no unified bulk download open/public south carolina/local data hiv/infectious disease; health care utilization/cost; sdoh/geospatial; cancer; environmental exposure; food/nutrition; provider locations south carolina dph, health maps, health applications, clinic locator, hiv clinic, std clinic, hepatitis clinic, health facility, cancer map, rabies, mosquito disease, food desert, vaccine location reports/dashboard health-service access, clinic and facility locations, vaccination, cancer, hiv/sti/hepatitis services, mosquito-borne disease, rabies, food markets and food access south carolina residents, health-service users, facilities, providers and populations represented in application-specific public-health data south carolina state, county, facility, clinic, provider location, service area and other application-specific geography report/dashboard high facility or clinic name, service type, address, coordinates, county, provider category, disease or monitoring indicator, counts, rates and application-specific geographic measures locate hiv/sti/hepatitis clinics and other health services; map geographic access to care; identify facility locations; support community needs assessments; examine food access and selected public-health monitoring indicators sc dph public health data; sc dph all data dashboards; sc tracking; sc health compass; hiv, aids &amp; stds data and reports; census tiger/line; american community survey this is an application directory rather than one harmonized dataset; content, definitions, years, refresh schedules and export options differ by application; some tools are designed for service discovery rather than statistical analysis public products generally contain aggregated, nonidentifiable or facility-location information; individual-level surveillance and clinical records require separate authorization; review each application’s privacy and suppression rules</v>
      </c>
    </row>
    <row r="99" spans="1:36" ht="28.5" customHeight="1">
      <c r="A99" s="1" t="s">
        <v>1597</v>
      </c>
      <c r="B99" s="8" t="s">
        <v>1598</v>
      </c>
      <c r="C99" s="3" t="s">
        <v>1599</v>
      </c>
      <c r="D99" s="4" t="s">
        <v>1600</v>
      </c>
      <c r="E99" s="1"/>
      <c r="F99" s="3"/>
      <c r="G99" s="3"/>
      <c r="H99" s="3"/>
      <c r="I99" s="3"/>
      <c r="J99" s="3"/>
      <c r="K99" s="3"/>
      <c r="L99" s="3"/>
      <c r="M99" s="3"/>
      <c r="N99" s="3"/>
      <c r="O99" s="3"/>
      <c r="Q99" s="3"/>
      <c r="R99" s="3"/>
      <c r="S99" s="3"/>
      <c r="T99" s="3"/>
      <c r="U99" s="1"/>
      <c r="V99" s="3"/>
      <c r="W99" s="3"/>
      <c r="X99" s="3"/>
      <c r="Y99" s="3"/>
      <c r="Z99" s="3"/>
      <c r="AA99" s="3"/>
      <c r="AB99" s="3"/>
      <c r="AC99" s="3"/>
      <c r="AD99" s="3"/>
      <c r="AE99" s="3"/>
      <c r="AF99" s="11"/>
      <c r="AG99" s="3"/>
      <c r="AH99" s="3"/>
      <c r="AI99" s="3"/>
      <c r="AJ99" s="3" t="str">
        <f t="shared" si="4"/>
        <v>national survey of children's health the natonal survey of children's health</v>
      </c>
    </row>
    <row r="100" spans="1:36" ht="28.5" customHeight="1">
      <c r="A100" s="1" t="s">
        <v>1601</v>
      </c>
      <c r="B100" s="8" t="s">
        <v>1602</v>
      </c>
      <c r="C100" s="3" t="s">
        <v>1603</v>
      </c>
      <c r="D100" s="4" t="s">
        <v>1604</v>
      </c>
      <c r="E100" s="1"/>
      <c r="F100" s="3"/>
      <c r="G100" s="3"/>
      <c r="H100" s="3"/>
      <c r="I100" s="3"/>
      <c r="J100" s="3"/>
      <c r="K100" s="3"/>
      <c r="L100" s="3"/>
      <c r="M100" s="3"/>
      <c r="N100" s="3"/>
      <c r="O100" s="3"/>
      <c r="Q100" s="3"/>
      <c r="R100" s="3"/>
      <c r="S100" s="3"/>
      <c r="T100" s="3"/>
      <c r="U100" s="1"/>
      <c r="V100" s="3"/>
      <c r="W100" s="3"/>
      <c r="X100" s="3"/>
      <c r="Y100" s="3"/>
      <c r="Z100" s="3"/>
      <c r="AA100" s="3"/>
      <c r="AB100" s="3"/>
      <c r="AC100" s="3"/>
      <c r="AD100" s="3"/>
      <c r="AE100" s="3"/>
      <c r="AF100" s="11"/>
      <c r="AG100" s="3"/>
      <c r="AH100" s="3"/>
      <c r="AI100" s="3"/>
      <c r="AJ100" s="3" t="str">
        <f t="shared" si="4"/>
        <v>national ambulatory medical care survey national ambulatory medica care survey</v>
      </c>
    </row>
    <row r="101" spans="1:36" ht="15">
      <c r="A101" s="1" t="s">
        <v>1605</v>
      </c>
      <c r="B101" s="8" t="s">
        <v>1606</v>
      </c>
      <c r="C101" s="3" t="s">
        <v>1606</v>
      </c>
      <c r="D101" s="15" t="s">
        <v>1607</v>
      </c>
      <c r="E101" s="1"/>
      <c r="F101" s="3"/>
      <c r="G101" s="3"/>
      <c r="H101" s="3"/>
      <c r="I101" s="3"/>
      <c r="J101" s="3"/>
      <c r="K101" s="3"/>
      <c r="L101" s="3"/>
      <c r="M101" s="3"/>
      <c r="N101" s="3"/>
      <c r="O101" s="3"/>
      <c r="Q101" s="3"/>
      <c r="R101" s="3"/>
      <c r="S101" s="3"/>
      <c r="T101" s="3"/>
      <c r="U101" s="1"/>
      <c r="V101" s="3"/>
      <c r="W101" s="3"/>
      <c r="X101" s="3"/>
      <c r="Y101" s="3"/>
      <c r="Z101" s="3"/>
      <c r="AA101" s="3"/>
      <c r="AB101" s="3"/>
      <c r="AC101" s="3"/>
      <c r="AD101" s="3"/>
      <c r="AE101" s="3"/>
      <c r="AF101" s="11"/>
      <c r="AG101" s="3"/>
      <c r="AH101" s="3"/>
      <c r="AI101" s="3"/>
      <c r="AJ101" s="3" t="str">
        <f t="shared" si="4"/>
        <v>national hospital care survey national hospital care survey</v>
      </c>
    </row>
    <row r="102" spans="1:36" ht="28.5" customHeight="1">
      <c r="A102" s="1" t="s">
        <v>1608</v>
      </c>
      <c r="B102" s="8" t="s">
        <v>1609</v>
      </c>
      <c r="C102" s="3" t="s">
        <v>1610</v>
      </c>
      <c r="D102" s="15" t="s">
        <v>1611</v>
      </c>
      <c r="E102" s="1"/>
      <c r="F102" s="3"/>
      <c r="G102" s="3"/>
      <c r="H102" s="3"/>
      <c r="I102" s="3"/>
      <c r="J102" s="3"/>
      <c r="K102" s="3"/>
      <c r="L102" s="3"/>
      <c r="M102" s="3"/>
      <c r="N102" s="3"/>
      <c r="O102" s="3"/>
      <c r="Q102" s="3"/>
      <c r="R102" s="3"/>
      <c r="S102" s="3"/>
      <c r="T102" s="3"/>
      <c r="U102" s="1"/>
      <c r="V102" s="3"/>
      <c r="W102" s="3"/>
      <c r="X102" s="3"/>
      <c r="Y102" s="3"/>
      <c r="Z102" s="3"/>
      <c r="AA102" s="3"/>
      <c r="AB102" s="3"/>
      <c r="AC102" s="3"/>
      <c r="AD102" s="3"/>
      <c r="AE102" s="3"/>
      <c r="AF102" s="11"/>
      <c r="AG102" s="3"/>
      <c r="AH102" s="3"/>
      <c r="AI102" s="3"/>
      <c r="AJ102" s="3" t="str">
        <f t="shared" si="4"/>
        <v>national notifiable diseases surveillance system national notifiable diseases surveilance system (nndss)</v>
      </c>
    </row>
    <row r="103" spans="1:36" ht="28.5" customHeight="1">
      <c r="A103" s="1" t="s">
        <v>1612</v>
      </c>
      <c r="B103" s="8" t="s">
        <v>1613</v>
      </c>
      <c r="C103" s="3" t="s">
        <v>1613</v>
      </c>
      <c r="D103" s="15" t="s">
        <v>1614</v>
      </c>
      <c r="E103" s="1"/>
      <c r="F103" s="3"/>
      <c r="G103" s="3"/>
      <c r="H103" s="3"/>
      <c r="I103" s="3"/>
      <c r="J103" s="3"/>
      <c r="K103" s="3"/>
      <c r="L103" s="3"/>
      <c r="M103" s="3"/>
      <c r="N103" s="3"/>
      <c r="O103" s="3"/>
      <c r="Q103" s="3"/>
      <c r="R103" s="3"/>
      <c r="S103" s="3"/>
      <c r="T103" s="3"/>
      <c r="U103" s="1"/>
      <c r="V103" s="3"/>
      <c r="W103" s="3"/>
      <c r="X103" s="3"/>
      <c r="Y103" s="3"/>
      <c r="Z103" s="3"/>
      <c r="AA103" s="3"/>
      <c r="AB103" s="3"/>
      <c r="AC103" s="3"/>
      <c r="AD103" s="3"/>
      <c r="AE103" s="3"/>
      <c r="AF103" s="11"/>
      <c r="AG103" s="3"/>
      <c r="AH103" s="3"/>
      <c r="AI103" s="3"/>
      <c r="AJ103" s="3" t="str">
        <f t="shared" si="4"/>
        <v>national sleep research resource national sleep research resource</v>
      </c>
    </row>
    <row r="104" spans="1:36" ht="15">
      <c r="A104" s="1" t="s">
        <v>1615</v>
      </c>
      <c r="B104" s="8" t="s">
        <v>1616</v>
      </c>
      <c r="C104" s="3" t="s">
        <v>1616</v>
      </c>
      <c r="D104" s="15" t="s">
        <v>1617</v>
      </c>
      <c r="E104" s="1"/>
      <c r="F104" s="3"/>
      <c r="G104" s="3"/>
      <c r="H104" s="3"/>
      <c r="I104" s="3"/>
      <c r="J104" s="3"/>
      <c r="K104" s="3"/>
      <c r="L104" s="3"/>
      <c r="M104" s="3"/>
      <c r="N104" s="3"/>
      <c r="O104" s="3"/>
      <c r="Q104" s="3"/>
      <c r="R104" s="3"/>
      <c r="S104" s="3"/>
      <c r="T104" s="3"/>
      <c r="U104" s="1"/>
      <c r="V104" s="3"/>
      <c r="W104" s="3"/>
      <c r="X104" s="3"/>
      <c r="Y104" s="3"/>
      <c r="Z104" s="3"/>
      <c r="AA104" s="3"/>
      <c r="AB104" s="3"/>
      <c r="AC104" s="3"/>
      <c r="AD104" s="3"/>
      <c r="AE104" s="3"/>
      <c r="AF104" s="11"/>
      <c r="AG104" s="3"/>
      <c r="AH104" s="3"/>
      <c r="AI104" s="3"/>
      <c r="AJ104" s="3" t="str">
        <f t="shared" si="4"/>
        <v>nimh data archive nimh data archive</v>
      </c>
    </row>
    <row r="105" spans="1:36" ht="28.5" customHeight="1">
      <c r="A105" s="1" t="s">
        <v>1618</v>
      </c>
      <c r="B105" s="8" t="s">
        <v>1619</v>
      </c>
      <c r="C105" s="3" t="s">
        <v>1620</v>
      </c>
      <c r="D105" s="15" t="s">
        <v>1621</v>
      </c>
      <c r="E105" s="1"/>
      <c r="F105" s="3"/>
      <c r="G105" s="3"/>
      <c r="H105" s="3"/>
      <c r="I105" s="3"/>
      <c r="J105" s="3"/>
      <c r="K105" s="3"/>
      <c r="L105" s="3"/>
      <c r="M105" s="3"/>
      <c r="N105" s="3"/>
      <c r="O105" s="3"/>
      <c r="Q105" s="3"/>
      <c r="R105" s="3"/>
      <c r="S105" s="3"/>
      <c r="T105" s="3"/>
      <c r="U105" s="1"/>
      <c r="V105" s="3"/>
      <c r="W105" s="3"/>
      <c r="X105" s="3"/>
      <c r="Y105" s="3"/>
      <c r="Z105" s="3"/>
      <c r="AA105" s="3"/>
      <c r="AB105" s="3"/>
      <c r="AC105" s="3"/>
      <c r="AD105" s="3"/>
      <c r="AE105" s="3"/>
      <c r="AF105" s="11"/>
      <c r="AG105" s="3"/>
      <c r="AH105" s="3"/>
      <c r="AI105" s="3"/>
      <c r="AJ105" s="3" t="str">
        <f t="shared" si="4"/>
        <v>united states renal data system the united states renal data system (usrds)</v>
      </c>
    </row>
    <row r="106" spans="1:36" ht="28.5" customHeight="1">
      <c r="A106" s="1" t="s">
        <v>1622</v>
      </c>
      <c r="B106" s="8" t="s">
        <v>1623</v>
      </c>
      <c r="C106" s="3" t="s">
        <v>1624</v>
      </c>
      <c r="D106" s="15" t="s">
        <v>1625</v>
      </c>
      <c r="E106" s="1"/>
      <c r="F106" s="3"/>
      <c r="G106" s="3"/>
      <c r="H106" s="3"/>
      <c r="I106" s="3"/>
      <c r="J106" s="3"/>
      <c r="K106" s="3"/>
      <c r="L106" s="3"/>
      <c r="M106" s="3"/>
      <c r="N106" s="3"/>
      <c r="O106" s="3"/>
      <c r="Q106" s="3"/>
      <c r="R106" s="3"/>
      <c r="S106" s="3"/>
      <c r="T106" s="3"/>
      <c r="U106" s="1"/>
      <c r="V106" s="3"/>
      <c r="W106" s="3"/>
      <c r="X106" s="3"/>
      <c r="Y106" s="3"/>
      <c r="Z106" s="3"/>
      <c r="AA106" s="3"/>
      <c r="AB106" s="3"/>
      <c r="AC106" s="3"/>
      <c r="AD106" s="3"/>
      <c r="AE106" s="3"/>
      <c r="AF106" s="11"/>
      <c r="AG106" s="3"/>
      <c r="AH106" s="3"/>
      <c r="AI106" s="3"/>
      <c r="AJ106" s="3" t="str">
        <f t="shared" si="4"/>
        <v>national emergency medical services information system nemsis</v>
      </c>
    </row>
    <row r="107" spans="1:36" ht="42.75" customHeight="1">
      <c r="A107" s="1" t="s">
        <v>1626</v>
      </c>
      <c r="B107" s="8" t="s">
        <v>1627</v>
      </c>
      <c r="C107" s="3" t="s">
        <v>1628</v>
      </c>
      <c r="D107" s="15" t="s">
        <v>1629</v>
      </c>
      <c r="E107" s="1" t="s">
        <v>1630</v>
      </c>
      <c r="F107" s="3"/>
      <c r="G107" s="3"/>
      <c r="H107" s="3"/>
      <c r="I107" s="3"/>
      <c r="J107" s="3"/>
      <c r="K107" s="3"/>
      <c r="L107" s="3"/>
      <c r="M107" s="3"/>
      <c r="N107" s="3"/>
      <c r="O107" s="3"/>
      <c r="Q107" s="3"/>
      <c r="R107" s="3"/>
      <c r="S107" s="3"/>
      <c r="T107" s="3"/>
      <c r="U107" s="1"/>
      <c r="V107" s="3"/>
      <c r="W107" s="3"/>
      <c r="X107" s="3"/>
      <c r="Y107" s="3"/>
      <c r="Z107" s="3"/>
      <c r="AA107" s="3"/>
      <c r="AB107" s="3"/>
      <c r="AC107" s="3"/>
      <c r="AD107" s="3"/>
      <c r="AE107" s="3"/>
      <c r="AF107" s="11"/>
      <c r="AG107" s="3"/>
      <c r="AH107" s="3"/>
      <c r="AI107" s="3"/>
      <c r="AJ107" s="3" t="str">
        <f t="shared" si="4"/>
        <v>health information national trends survey hints nationally representative data about the american public's knowledge of, attitudes toward, and use of cancer- and health-related information</v>
      </c>
    </row>
    <row r="108" spans="1:36" ht="75">
      <c r="A108" s="1" t="s">
        <v>1645</v>
      </c>
      <c r="B108" s="8" t="s">
        <v>1631</v>
      </c>
      <c r="C108" s="3" t="s">
        <v>1631</v>
      </c>
      <c r="D108" s="15" t="s">
        <v>1632</v>
      </c>
      <c r="E108" s="1" t="s">
        <v>1633</v>
      </c>
      <c r="F108" s="3" t="s">
        <v>160</v>
      </c>
      <c r="G108" s="3" t="s">
        <v>160</v>
      </c>
      <c r="H108" s="3" t="s">
        <v>62</v>
      </c>
      <c r="I108" s="3" t="s">
        <v>580</v>
      </c>
      <c r="J108" s="3" t="s">
        <v>1634</v>
      </c>
      <c r="K108" s="3" t="s">
        <v>1635</v>
      </c>
      <c r="L108" s="3" t="s">
        <v>126</v>
      </c>
      <c r="M108" s="3" t="s">
        <v>1636</v>
      </c>
      <c r="N108" s="3" t="s">
        <v>1637</v>
      </c>
      <c r="O108" s="3" t="s">
        <v>48</v>
      </c>
      <c r="P108" t="s">
        <v>49</v>
      </c>
      <c r="Q108" s="3" t="s">
        <v>75</v>
      </c>
      <c r="R108" s="3" t="s">
        <v>51</v>
      </c>
      <c r="S108" s="3" t="s">
        <v>51</v>
      </c>
      <c r="T108" s="3" t="s">
        <v>51</v>
      </c>
      <c r="U108" s="1" t="s">
        <v>1638</v>
      </c>
      <c r="V108" s="3" t="s">
        <v>54</v>
      </c>
      <c r="W108" s="3" t="s">
        <v>129</v>
      </c>
      <c r="X108" s="3" t="s">
        <v>62</v>
      </c>
      <c r="Y108" s="3" t="s">
        <v>1639</v>
      </c>
      <c r="Z108" s="3" t="s">
        <v>1640</v>
      </c>
      <c r="AA108" s="3" t="s">
        <v>1641</v>
      </c>
      <c r="AB108" s="3" t="s">
        <v>1642</v>
      </c>
      <c r="AC108" s="3" t="s">
        <v>1643</v>
      </c>
      <c r="AD108" s="3"/>
      <c r="AE108" s="3"/>
      <c r="AF108" s="3"/>
      <c r="AG108" s="3"/>
      <c r="AH108" s="3"/>
      <c r="AI108" s="3"/>
      <c r="AJ108" s="3" t="s">
        <v>1644</v>
      </c>
    </row>
    <row r="109" spans="1:36">
      <c r="A109" s="3"/>
      <c r="B109" s="3"/>
      <c r="C109" s="3"/>
      <c r="D109" s="1"/>
      <c r="E109" s="1"/>
      <c r="F109" s="3"/>
      <c r="G109" s="3"/>
      <c r="H109" s="3"/>
      <c r="I109" s="3"/>
      <c r="J109" s="3"/>
      <c r="K109" s="3"/>
      <c r="L109" s="3"/>
      <c r="M109" s="3"/>
      <c r="N109" s="3"/>
      <c r="O109" s="3"/>
      <c r="Q109" s="3"/>
      <c r="R109" s="3"/>
      <c r="S109" s="3"/>
      <c r="T109" s="3"/>
      <c r="U109" s="1"/>
      <c r="V109" s="3"/>
      <c r="W109" s="3"/>
      <c r="X109" s="3"/>
      <c r="Y109" s="3"/>
      <c r="Z109" s="3"/>
      <c r="AA109" s="3"/>
      <c r="AB109" s="3"/>
      <c r="AC109" s="3"/>
      <c r="AD109" s="3"/>
      <c r="AE109" s="3"/>
      <c r="AF109" s="3"/>
      <c r="AG109" s="3"/>
      <c r="AH109" s="3"/>
      <c r="AI109" s="3"/>
      <c r="AJ109" s="3"/>
    </row>
    <row r="110" spans="1:36">
      <c r="A110" s="3"/>
      <c r="B110" s="3"/>
      <c r="C110" s="3"/>
      <c r="D110" s="1"/>
      <c r="E110" s="1"/>
      <c r="F110" s="3"/>
      <c r="G110" s="3"/>
      <c r="H110" s="3"/>
      <c r="I110" s="3"/>
      <c r="J110" s="3"/>
      <c r="K110" s="3"/>
      <c r="L110" s="3"/>
      <c r="M110" s="3"/>
      <c r="N110" s="3"/>
      <c r="O110" s="3"/>
      <c r="Q110" s="3"/>
      <c r="R110" s="3"/>
      <c r="S110" s="3"/>
      <c r="T110" s="3"/>
      <c r="U110" s="1"/>
      <c r="V110" s="3"/>
      <c r="W110" s="3"/>
      <c r="X110" s="3"/>
      <c r="Y110" s="3"/>
      <c r="Z110" s="3"/>
      <c r="AA110" s="3"/>
      <c r="AB110" s="3"/>
      <c r="AC110" s="3"/>
      <c r="AD110" s="3"/>
      <c r="AE110" s="3"/>
      <c r="AF110" s="3"/>
      <c r="AG110" s="3"/>
      <c r="AH110" s="3"/>
      <c r="AI110" s="3"/>
      <c r="AJ110" s="3"/>
    </row>
    <row r="111" spans="1:36">
      <c r="A111" s="3"/>
      <c r="B111" s="3"/>
      <c r="C111" s="3"/>
      <c r="D111" s="1"/>
      <c r="E111" s="1"/>
      <c r="F111" s="3"/>
      <c r="G111" s="3"/>
      <c r="H111" s="3"/>
      <c r="I111" s="3"/>
      <c r="J111" s="3"/>
      <c r="K111" s="3"/>
      <c r="L111" s="3"/>
      <c r="M111" s="3"/>
      <c r="N111" s="3"/>
      <c r="O111" s="3"/>
      <c r="Q111" s="3"/>
      <c r="R111" s="3"/>
      <c r="S111" s="3"/>
      <c r="T111" s="3"/>
      <c r="U111" s="1"/>
      <c r="V111" s="3"/>
      <c r="W111" s="3"/>
      <c r="X111" s="3"/>
      <c r="Y111" s="3"/>
      <c r="Z111" s="3"/>
      <c r="AA111" s="3"/>
      <c r="AB111" s="3"/>
      <c r="AC111" s="3"/>
      <c r="AD111" s="3"/>
      <c r="AE111" s="3"/>
      <c r="AF111" s="3"/>
      <c r="AG111" s="3"/>
      <c r="AH111" s="3"/>
      <c r="AI111" s="3"/>
      <c r="AJ111" s="3"/>
    </row>
    <row r="112" spans="1:36">
      <c r="A112" s="3"/>
      <c r="B112" s="3"/>
      <c r="C112" s="3"/>
      <c r="D112" s="1"/>
      <c r="E112" s="1"/>
      <c r="F112" s="3"/>
      <c r="G112" s="3"/>
      <c r="H112" s="3"/>
      <c r="I112" s="3"/>
      <c r="J112" s="3"/>
      <c r="K112" s="3"/>
      <c r="L112" s="3"/>
      <c r="M112" s="3"/>
      <c r="N112" s="3"/>
      <c r="O112" s="3"/>
      <c r="Q112" s="3"/>
      <c r="R112" s="3"/>
      <c r="S112" s="3"/>
      <c r="T112" s="3"/>
      <c r="U112" s="1"/>
      <c r="V112" s="3"/>
      <c r="W112" s="3"/>
      <c r="X112" s="3"/>
      <c r="Y112" s="3"/>
      <c r="Z112" s="3"/>
      <c r="AA112" s="3"/>
      <c r="AB112" s="3"/>
      <c r="AC112" s="3"/>
      <c r="AD112" s="3"/>
      <c r="AE112" s="3"/>
      <c r="AF112" s="3"/>
      <c r="AG112" s="3"/>
      <c r="AH112" s="3"/>
      <c r="AI112" s="3"/>
      <c r="AJ112" s="3"/>
    </row>
    <row r="113" spans="1:36">
      <c r="A113" s="3"/>
      <c r="B113" s="3"/>
      <c r="C113" s="3"/>
      <c r="D113" s="1"/>
      <c r="E113" s="1"/>
      <c r="F113" s="3"/>
      <c r="G113" s="3"/>
      <c r="H113" s="3"/>
      <c r="I113" s="3"/>
      <c r="J113" s="3"/>
      <c r="K113" s="3"/>
      <c r="L113" s="3"/>
      <c r="M113" s="3"/>
      <c r="N113" s="3"/>
      <c r="O113" s="3"/>
      <c r="Q113" s="3"/>
      <c r="R113" s="3"/>
      <c r="S113" s="3"/>
      <c r="T113" s="3"/>
      <c r="U113" s="1"/>
      <c r="V113" s="3"/>
      <c r="W113" s="3"/>
      <c r="X113" s="3"/>
      <c r="Y113" s="3"/>
      <c r="Z113" s="3"/>
      <c r="AA113" s="3"/>
      <c r="AB113" s="3"/>
      <c r="AC113" s="3"/>
      <c r="AD113" s="3"/>
      <c r="AE113" s="3"/>
      <c r="AF113" s="3"/>
      <c r="AG113" s="3"/>
      <c r="AH113" s="3"/>
      <c r="AI113" s="3"/>
      <c r="AJ113" s="3"/>
    </row>
    <row r="114" spans="1:36">
      <c r="A114" s="3"/>
      <c r="B114" s="3"/>
      <c r="C114" s="3"/>
      <c r="D114" s="1"/>
      <c r="E114" s="1"/>
      <c r="F114" s="3"/>
      <c r="G114" s="3"/>
      <c r="H114" s="3"/>
      <c r="I114" s="3"/>
      <c r="J114" s="3"/>
      <c r="K114" s="3"/>
      <c r="L114" s="3"/>
      <c r="M114" s="3"/>
      <c r="N114" s="3"/>
      <c r="O114" s="3"/>
      <c r="Q114" s="3"/>
      <c r="R114" s="3"/>
      <c r="S114" s="3"/>
      <c r="T114" s="3"/>
      <c r="U114" s="1"/>
      <c r="V114" s="3"/>
      <c r="W114" s="3"/>
      <c r="X114" s="3"/>
      <c r="Y114" s="3"/>
      <c r="Z114" s="3"/>
      <c r="AA114" s="3"/>
      <c r="AB114" s="3"/>
      <c r="AC114" s="3"/>
      <c r="AD114" s="3"/>
      <c r="AE114" s="3"/>
      <c r="AF114" s="3"/>
      <c r="AG114" s="3"/>
      <c r="AH114" s="3"/>
      <c r="AI114" s="3"/>
      <c r="AJ114" s="3"/>
    </row>
    <row r="115" spans="1:36">
      <c r="A115" s="3"/>
      <c r="B115" s="3"/>
      <c r="C115" s="3"/>
      <c r="D115" s="1"/>
      <c r="E115" s="1"/>
      <c r="F115" s="3"/>
      <c r="G115" s="3"/>
      <c r="H115" s="3"/>
      <c r="I115" s="3"/>
      <c r="J115" s="3"/>
      <c r="K115" s="3"/>
      <c r="L115" s="3"/>
      <c r="M115" s="3"/>
      <c r="N115" s="3"/>
      <c r="O115" s="3"/>
      <c r="Q115" s="3"/>
      <c r="R115" s="3"/>
      <c r="S115" s="3"/>
      <c r="T115" s="3"/>
      <c r="U115" s="1"/>
      <c r="V115" s="3"/>
      <c r="W115" s="3"/>
      <c r="X115" s="3"/>
      <c r="Y115" s="3"/>
      <c r="Z115" s="3"/>
      <c r="AA115" s="3"/>
      <c r="AB115" s="3"/>
      <c r="AC115" s="3"/>
      <c r="AD115" s="3"/>
      <c r="AE115" s="3"/>
      <c r="AF115" s="3"/>
      <c r="AG115" s="3"/>
      <c r="AH115" s="3"/>
      <c r="AI115" s="3"/>
      <c r="AJ115" s="3"/>
    </row>
    <row r="116" spans="1:36">
      <c r="A116" s="3"/>
      <c r="B116" s="3"/>
      <c r="C116" s="3"/>
      <c r="D116" s="1"/>
      <c r="E116" s="1"/>
      <c r="F116" s="3"/>
      <c r="G116" s="3"/>
      <c r="H116" s="3"/>
      <c r="I116" s="3"/>
      <c r="J116" s="3"/>
      <c r="K116" s="3"/>
      <c r="L116" s="3"/>
      <c r="M116" s="3"/>
      <c r="N116" s="3"/>
      <c r="O116" s="3"/>
      <c r="Q116" s="3"/>
      <c r="R116" s="3"/>
      <c r="S116" s="3"/>
      <c r="T116" s="3"/>
      <c r="U116" s="1"/>
      <c r="V116" s="3"/>
      <c r="W116" s="3"/>
      <c r="X116" s="3"/>
      <c r="Y116" s="3"/>
      <c r="Z116" s="3"/>
      <c r="AA116" s="3"/>
      <c r="AB116" s="3"/>
      <c r="AC116" s="3"/>
      <c r="AD116" s="3"/>
      <c r="AE116" s="3"/>
      <c r="AF116" s="3"/>
      <c r="AG116" s="3"/>
      <c r="AH116" s="3"/>
      <c r="AI116" s="3"/>
      <c r="AJ116" s="3"/>
    </row>
    <row r="117" spans="1:36">
      <c r="A117" s="3"/>
      <c r="B117" s="3"/>
      <c r="C117" s="3"/>
      <c r="D117" s="1"/>
      <c r="E117" s="1"/>
      <c r="F117" s="3"/>
      <c r="G117" s="3"/>
      <c r="H117" s="3"/>
      <c r="I117" s="3"/>
      <c r="J117" s="3"/>
      <c r="K117" s="3"/>
      <c r="L117" s="3"/>
      <c r="M117" s="3"/>
      <c r="N117" s="3"/>
      <c r="O117" s="3"/>
      <c r="Q117" s="3"/>
      <c r="R117" s="3"/>
      <c r="S117" s="3"/>
      <c r="T117" s="3"/>
      <c r="U117" s="1"/>
      <c r="V117" s="3"/>
      <c r="W117" s="3"/>
      <c r="X117" s="3"/>
      <c r="Y117" s="3"/>
      <c r="Z117" s="3"/>
      <c r="AA117" s="3"/>
      <c r="AB117" s="3"/>
      <c r="AC117" s="3"/>
      <c r="AD117" s="3"/>
      <c r="AE117" s="3"/>
      <c r="AF117" s="3"/>
      <c r="AG117" s="3"/>
      <c r="AH117" s="3"/>
      <c r="AI117" s="3"/>
      <c r="AJ117" s="3"/>
    </row>
    <row r="118" spans="1:36">
      <c r="A118" s="3"/>
      <c r="B118" s="3"/>
      <c r="C118" s="3"/>
      <c r="D118" s="1"/>
      <c r="E118" s="1"/>
      <c r="F118" s="3"/>
      <c r="G118" s="3"/>
      <c r="H118" s="3"/>
      <c r="I118" s="3"/>
      <c r="J118" s="3"/>
      <c r="K118" s="3"/>
      <c r="L118" s="3"/>
      <c r="M118" s="3"/>
      <c r="N118" s="3"/>
      <c r="O118" s="3"/>
      <c r="Q118" s="3"/>
      <c r="R118" s="3"/>
      <c r="S118" s="3"/>
      <c r="T118" s="3"/>
      <c r="U118" s="1"/>
      <c r="V118" s="3"/>
      <c r="W118" s="3"/>
      <c r="X118" s="3"/>
      <c r="Y118" s="3"/>
      <c r="Z118" s="3"/>
      <c r="AA118" s="3"/>
      <c r="AB118" s="3"/>
      <c r="AC118" s="3"/>
      <c r="AD118" s="3"/>
      <c r="AE118" s="3"/>
      <c r="AF118" s="3"/>
      <c r="AG118" s="3"/>
      <c r="AH118" s="3"/>
      <c r="AI118" s="3"/>
      <c r="AJ118" s="3"/>
    </row>
    <row r="119" spans="1:36">
      <c r="A119" s="3"/>
      <c r="B119" s="3"/>
      <c r="C119" s="3"/>
      <c r="D119" s="1"/>
      <c r="E119" s="1"/>
      <c r="F119" s="3"/>
      <c r="G119" s="3"/>
      <c r="H119" s="3"/>
      <c r="I119" s="3"/>
      <c r="J119" s="3"/>
      <c r="K119" s="3"/>
      <c r="L119" s="3"/>
      <c r="M119" s="3"/>
      <c r="N119" s="3"/>
      <c r="O119" s="3"/>
      <c r="Q119" s="3"/>
      <c r="R119" s="3"/>
      <c r="S119" s="3"/>
      <c r="T119" s="3"/>
      <c r="U119" s="1"/>
      <c r="V119" s="3"/>
      <c r="W119" s="3"/>
      <c r="X119" s="3"/>
      <c r="Y119" s="3"/>
      <c r="Z119" s="3"/>
      <c r="AA119" s="3"/>
      <c r="AB119" s="3"/>
      <c r="AC119" s="3"/>
      <c r="AD119" s="3"/>
      <c r="AE119" s="3"/>
      <c r="AF119" s="3"/>
      <c r="AG119" s="3"/>
      <c r="AH119" s="3"/>
      <c r="AI119" s="3"/>
      <c r="AJ119" s="3"/>
    </row>
    <row r="120" spans="1:36">
      <c r="A120" s="3"/>
      <c r="B120" s="3"/>
      <c r="C120" s="3"/>
      <c r="D120" s="1"/>
      <c r="E120" s="1"/>
      <c r="F120" s="3"/>
      <c r="G120" s="3"/>
      <c r="H120" s="3"/>
      <c r="I120" s="3"/>
      <c r="J120" s="3"/>
      <c r="K120" s="3"/>
      <c r="L120" s="3"/>
      <c r="M120" s="3"/>
      <c r="N120" s="3"/>
      <c r="O120" s="3"/>
      <c r="Q120" s="3"/>
      <c r="R120" s="3"/>
      <c r="S120" s="3"/>
      <c r="T120" s="3"/>
      <c r="U120" s="1"/>
      <c r="V120" s="3"/>
      <c r="W120" s="3"/>
      <c r="X120" s="3"/>
      <c r="Y120" s="3"/>
      <c r="Z120" s="3"/>
      <c r="AA120" s="3"/>
      <c r="AB120" s="3"/>
      <c r="AC120" s="3"/>
      <c r="AD120" s="3"/>
      <c r="AE120" s="3"/>
      <c r="AF120" s="3"/>
      <c r="AG120" s="3"/>
      <c r="AH120" s="3"/>
      <c r="AI120" s="3"/>
      <c r="AJ120" s="3"/>
    </row>
    <row r="121" spans="1:36">
      <c r="A121" s="3"/>
      <c r="B121" s="3"/>
      <c r="C121" s="3"/>
      <c r="D121" s="1"/>
      <c r="E121" s="1"/>
      <c r="F121" s="3"/>
      <c r="G121" s="3"/>
      <c r="H121" s="3"/>
      <c r="I121" s="3"/>
      <c r="J121" s="3"/>
      <c r="K121" s="3"/>
      <c r="L121" s="3"/>
      <c r="M121" s="3"/>
      <c r="N121" s="3"/>
      <c r="O121" s="3"/>
      <c r="Q121" s="3"/>
      <c r="R121" s="3"/>
      <c r="S121" s="3"/>
      <c r="T121" s="3"/>
      <c r="U121" s="1"/>
      <c r="V121" s="3"/>
      <c r="W121" s="3"/>
      <c r="X121" s="3"/>
      <c r="Y121" s="3"/>
      <c r="Z121" s="3"/>
      <c r="AA121" s="3"/>
      <c r="AB121" s="3"/>
      <c r="AC121" s="3"/>
      <c r="AD121" s="3"/>
      <c r="AE121" s="3"/>
      <c r="AF121" s="3"/>
      <c r="AG121" s="3"/>
      <c r="AH121" s="3"/>
      <c r="AI121" s="3"/>
      <c r="AJ121" s="3"/>
    </row>
    <row r="122" spans="1:36">
      <c r="A122" s="3"/>
      <c r="B122" s="3"/>
      <c r="C122" s="3"/>
      <c r="D122" s="1"/>
      <c r="E122" s="1"/>
      <c r="F122" s="3"/>
      <c r="G122" s="3"/>
      <c r="H122" s="3"/>
      <c r="I122" s="3"/>
      <c r="J122" s="3"/>
      <c r="K122" s="3"/>
      <c r="L122" s="3"/>
      <c r="M122" s="3"/>
      <c r="N122" s="3"/>
      <c r="O122" s="3"/>
      <c r="Q122" s="3"/>
      <c r="R122" s="3"/>
      <c r="S122" s="3"/>
      <c r="T122" s="3"/>
      <c r="U122" s="1"/>
      <c r="V122" s="3"/>
      <c r="W122" s="3"/>
      <c r="X122" s="3"/>
      <c r="Y122" s="3"/>
      <c r="Z122" s="3"/>
      <c r="AA122" s="3"/>
      <c r="AB122" s="3"/>
      <c r="AC122" s="3"/>
      <c r="AD122" s="3"/>
      <c r="AE122" s="3"/>
      <c r="AF122" s="3"/>
      <c r="AG122" s="3"/>
      <c r="AH122" s="3"/>
      <c r="AI122" s="3"/>
      <c r="AJ122" s="3"/>
    </row>
    <row r="123" spans="1:36">
      <c r="A123" s="3"/>
      <c r="B123" s="3"/>
      <c r="C123" s="3"/>
      <c r="D123" s="1"/>
      <c r="E123" s="1"/>
      <c r="F123" s="3"/>
      <c r="G123" s="3"/>
      <c r="H123" s="3"/>
      <c r="I123" s="3"/>
      <c r="J123" s="3"/>
      <c r="K123" s="3"/>
      <c r="L123" s="3"/>
      <c r="M123" s="3"/>
      <c r="N123" s="3"/>
      <c r="O123" s="3"/>
      <c r="Q123" s="3"/>
      <c r="R123" s="3"/>
      <c r="S123" s="3"/>
      <c r="T123" s="3"/>
      <c r="U123" s="1"/>
      <c r="V123" s="3"/>
      <c r="W123" s="3"/>
      <c r="X123" s="3"/>
      <c r="Y123" s="3"/>
      <c r="Z123" s="3"/>
      <c r="AA123" s="3"/>
      <c r="AB123" s="3"/>
      <c r="AC123" s="3"/>
      <c r="AD123" s="3"/>
      <c r="AE123" s="3"/>
      <c r="AF123" s="3"/>
      <c r="AG123" s="3"/>
      <c r="AH123" s="3"/>
      <c r="AI123" s="3"/>
      <c r="AJ123" s="3"/>
    </row>
    <row r="124" spans="1:36">
      <c r="A124" s="3"/>
      <c r="B124" s="3"/>
      <c r="C124" s="3"/>
      <c r="D124" s="1"/>
      <c r="E124" s="1"/>
      <c r="F124" s="3"/>
      <c r="G124" s="3"/>
      <c r="H124" s="3"/>
      <c r="I124" s="3"/>
      <c r="J124" s="3"/>
      <c r="K124" s="3"/>
      <c r="L124" s="3"/>
      <c r="M124" s="3"/>
      <c r="N124" s="3"/>
      <c r="O124" s="3"/>
      <c r="Q124" s="3"/>
      <c r="R124" s="3"/>
      <c r="S124" s="3"/>
      <c r="T124" s="3"/>
      <c r="U124" s="1"/>
      <c r="V124" s="3"/>
      <c r="W124" s="3"/>
      <c r="X124" s="3"/>
      <c r="Y124" s="3"/>
      <c r="Z124" s="3"/>
      <c r="AA124" s="3"/>
      <c r="AB124" s="3"/>
      <c r="AC124" s="3"/>
      <c r="AD124" s="3"/>
      <c r="AE124" s="3"/>
      <c r="AF124" s="3"/>
      <c r="AG124" s="3"/>
      <c r="AH124" s="3"/>
      <c r="AI124" s="3"/>
      <c r="AJ124" s="3"/>
    </row>
    <row r="125" spans="1:36">
      <c r="A125" s="3"/>
      <c r="B125" s="3"/>
      <c r="C125" s="3"/>
      <c r="D125" s="1"/>
      <c r="E125" s="1"/>
      <c r="F125" s="3"/>
      <c r="G125" s="3"/>
      <c r="H125" s="3"/>
      <c r="I125" s="3"/>
      <c r="J125" s="3"/>
      <c r="K125" s="3"/>
      <c r="L125" s="3"/>
      <c r="M125" s="3"/>
      <c r="N125" s="3"/>
      <c r="O125" s="3"/>
      <c r="Q125" s="3"/>
      <c r="R125" s="3"/>
      <c r="S125" s="3"/>
      <c r="T125" s="3"/>
      <c r="U125" s="1"/>
      <c r="V125" s="3"/>
      <c r="W125" s="3"/>
      <c r="X125" s="3"/>
      <c r="Y125" s="3"/>
      <c r="Z125" s="3"/>
      <c r="AA125" s="3"/>
      <c r="AB125" s="3"/>
      <c r="AC125" s="3"/>
      <c r="AD125" s="3"/>
      <c r="AE125" s="3"/>
      <c r="AF125" s="3"/>
      <c r="AG125" s="3"/>
      <c r="AH125" s="3"/>
      <c r="AI125" s="3"/>
      <c r="AJ125" s="3"/>
    </row>
    <row r="126" spans="1:36">
      <c r="A126" s="3"/>
      <c r="B126" s="3"/>
      <c r="C126" s="3"/>
      <c r="D126" s="1"/>
      <c r="E126" s="1"/>
      <c r="F126" s="3"/>
      <c r="G126" s="3"/>
      <c r="H126" s="3"/>
      <c r="I126" s="3"/>
      <c r="J126" s="3"/>
      <c r="K126" s="3"/>
      <c r="L126" s="3"/>
      <c r="M126" s="3"/>
      <c r="N126" s="3"/>
      <c r="O126" s="3"/>
      <c r="Q126" s="3"/>
      <c r="R126" s="3"/>
      <c r="S126" s="3"/>
      <c r="T126" s="3"/>
      <c r="U126" s="1"/>
      <c r="V126" s="3"/>
      <c r="W126" s="3"/>
      <c r="X126" s="3"/>
      <c r="Y126" s="3"/>
      <c r="Z126" s="3"/>
      <c r="AA126" s="3"/>
      <c r="AB126" s="3"/>
      <c r="AC126" s="3"/>
      <c r="AD126" s="3"/>
      <c r="AE126" s="3"/>
      <c r="AF126" s="3"/>
      <c r="AG126" s="3"/>
      <c r="AH126" s="3"/>
      <c r="AI126" s="3"/>
      <c r="AJ126" s="3"/>
    </row>
    <row r="127" spans="1:36">
      <c r="A127" s="3"/>
      <c r="B127" s="3"/>
      <c r="C127" s="3"/>
      <c r="D127" s="1"/>
      <c r="E127" s="1"/>
      <c r="F127" s="3"/>
      <c r="G127" s="3"/>
      <c r="H127" s="3"/>
      <c r="I127" s="3"/>
      <c r="J127" s="3"/>
      <c r="K127" s="3"/>
      <c r="L127" s="3"/>
      <c r="M127" s="3"/>
      <c r="N127" s="3"/>
      <c r="O127" s="3"/>
      <c r="Q127" s="3"/>
      <c r="R127" s="3"/>
      <c r="S127" s="3"/>
      <c r="T127" s="3"/>
      <c r="U127" s="1"/>
      <c r="V127" s="3"/>
      <c r="W127" s="3"/>
      <c r="X127" s="3"/>
      <c r="Y127" s="3"/>
      <c r="Z127" s="3"/>
      <c r="AA127" s="3"/>
      <c r="AB127" s="3"/>
      <c r="AC127" s="3"/>
      <c r="AD127" s="3"/>
      <c r="AE127" s="3"/>
      <c r="AF127" s="3"/>
      <c r="AG127" s="3"/>
      <c r="AH127" s="3"/>
      <c r="AI127" s="3"/>
      <c r="AJ127" s="3"/>
    </row>
    <row r="128" spans="1:36">
      <c r="A128" s="3"/>
      <c r="B128" s="3"/>
      <c r="C128" s="3"/>
      <c r="D128" s="1"/>
      <c r="E128" s="1"/>
      <c r="F128" s="3"/>
      <c r="G128" s="3"/>
      <c r="H128" s="3"/>
      <c r="I128" s="3"/>
      <c r="J128" s="3"/>
      <c r="K128" s="3"/>
      <c r="L128" s="3"/>
      <c r="M128" s="3"/>
      <c r="N128" s="3"/>
      <c r="O128" s="3"/>
      <c r="Q128" s="3"/>
      <c r="R128" s="3"/>
      <c r="S128" s="3"/>
      <c r="T128" s="3"/>
      <c r="U128" s="1"/>
      <c r="V128" s="3"/>
      <c r="W128" s="3"/>
      <c r="X128" s="3"/>
      <c r="Y128" s="3"/>
      <c r="Z128" s="3"/>
      <c r="AA128" s="3"/>
      <c r="AB128" s="3"/>
      <c r="AC128" s="3"/>
      <c r="AD128" s="3"/>
      <c r="AE128" s="3"/>
      <c r="AF128" s="3"/>
      <c r="AG128" s="3"/>
      <c r="AH128" s="3"/>
      <c r="AI128" s="3"/>
      <c r="AJ128" s="3"/>
    </row>
    <row r="129" spans="1:36">
      <c r="A129" s="3"/>
      <c r="B129" s="3"/>
      <c r="C129" s="3"/>
      <c r="D129" s="1"/>
      <c r="E129" s="1"/>
      <c r="F129" s="3"/>
      <c r="G129" s="3"/>
      <c r="H129" s="3"/>
      <c r="I129" s="3"/>
      <c r="J129" s="3"/>
      <c r="K129" s="3"/>
      <c r="L129" s="3"/>
      <c r="M129" s="3"/>
      <c r="N129" s="3"/>
      <c r="O129" s="3"/>
      <c r="Q129" s="3"/>
      <c r="R129" s="3"/>
      <c r="S129" s="3"/>
      <c r="T129" s="3"/>
      <c r="U129" s="1"/>
      <c r="V129" s="3"/>
      <c r="W129" s="3"/>
      <c r="X129" s="3"/>
      <c r="Y129" s="3"/>
      <c r="Z129" s="3"/>
      <c r="AA129" s="3"/>
      <c r="AB129" s="3"/>
      <c r="AC129" s="3"/>
      <c r="AD129" s="3"/>
      <c r="AE129" s="3"/>
      <c r="AF129" s="3"/>
      <c r="AG129" s="3"/>
      <c r="AH129" s="3"/>
      <c r="AI129" s="3"/>
      <c r="AJ129" s="3"/>
    </row>
    <row r="130" spans="1:36">
      <c r="A130" s="3"/>
      <c r="B130" s="3"/>
      <c r="C130" s="3"/>
      <c r="D130" s="1"/>
      <c r="E130" s="1"/>
      <c r="F130" s="3"/>
      <c r="G130" s="3"/>
      <c r="H130" s="3"/>
      <c r="I130" s="3"/>
      <c r="J130" s="3"/>
      <c r="K130" s="3"/>
      <c r="L130" s="3"/>
      <c r="M130" s="3"/>
      <c r="N130" s="3"/>
      <c r="O130" s="3"/>
      <c r="Q130" s="3"/>
      <c r="R130" s="3"/>
      <c r="S130" s="3"/>
      <c r="T130" s="3"/>
      <c r="U130" s="1"/>
      <c r="V130" s="3"/>
      <c r="W130" s="3"/>
      <c r="X130" s="3"/>
      <c r="Y130" s="3"/>
      <c r="Z130" s="3"/>
      <c r="AA130" s="3"/>
      <c r="AB130" s="3"/>
      <c r="AC130" s="3"/>
      <c r="AD130" s="3"/>
      <c r="AE130" s="3"/>
      <c r="AF130" s="3"/>
      <c r="AG130" s="3"/>
      <c r="AH130" s="3"/>
      <c r="AI130" s="3"/>
      <c r="AJ130" s="3"/>
    </row>
    <row r="131" spans="1:36">
      <c r="A131" s="3"/>
      <c r="B131" s="3"/>
      <c r="C131" s="3"/>
      <c r="D131" s="1"/>
      <c r="E131" s="1"/>
      <c r="F131" s="3"/>
      <c r="G131" s="3"/>
      <c r="H131" s="3"/>
      <c r="I131" s="3"/>
      <c r="J131" s="3"/>
      <c r="K131" s="3"/>
      <c r="L131" s="3"/>
      <c r="M131" s="3"/>
      <c r="N131" s="3"/>
      <c r="O131" s="3"/>
      <c r="Q131" s="3"/>
      <c r="R131" s="3"/>
      <c r="S131" s="3"/>
      <c r="T131" s="3"/>
      <c r="U131" s="1"/>
      <c r="V131" s="3"/>
      <c r="W131" s="3"/>
      <c r="X131" s="3"/>
      <c r="Y131" s="3"/>
      <c r="Z131" s="3"/>
      <c r="AA131" s="3"/>
      <c r="AB131" s="3"/>
      <c r="AC131" s="3"/>
      <c r="AD131" s="3"/>
      <c r="AE131" s="3"/>
      <c r="AF131" s="3"/>
      <c r="AG131" s="3"/>
      <c r="AH131" s="3"/>
      <c r="AI131" s="3"/>
      <c r="AJ131" s="3"/>
    </row>
    <row r="132" spans="1:36">
      <c r="A132" s="3"/>
      <c r="B132" s="3"/>
      <c r="C132" s="3"/>
      <c r="D132" s="1"/>
      <c r="E132" s="1"/>
      <c r="F132" s="3"/>
      <c r="G132" s="3"/>
      <c r="H132" s="3"/>
      <c r="I132" s="3"/>
      <c r="J132" s="3"/>
      <c r="K132" s="3"/>
      <c r="L132" s="3"/>
      <c r="M132" s="3"/>
      <c r="N132" s="3"/>
      <c r="O132" s="3"/>
      <c r="Q132" s="3"/>
      <c r="R132" s="3"/>
      <c r="S132" s="3"/>
      <c r="T132" s="3"/>
      <c r="U132" s="1"/>
      <c r="V132" s="3"/>
      <c r="W132" s="3"/>
      <c r="X132" s="3"/>
      <c r="Y132" s="3"/>
      <c r="Z132" s="3"/>
      <c r="AA132" s="3"/>
      <c r="AB132" s="3"/>
      <c r="AC132" s="3"/>
      <c r="AD132" s="3"/>
      <c r="AE132" s="3"/>
      <c r="AF132" s="3"/>
      <c r="AG132" s="3"/>
      <c r="AH132" s="3"/>
      <c r="AI132" s="3"/>
      <c r="AJ132" s="3"/>
    </row>
    <row r="133" spans="1:36">
      <c r="A133" s="3"/>
      <c r="B133" s="3"/>
      <c r="C133" s="3"/>
      <c r="D133" s="1"/>
      <c r="E133" s="1"/>
      <c r="F133" s="3"/>
      <c r="G133" s="3"/>
      <c r="H133" s="3"/>
      <c r="I133" s="3"/>
      <c r="J133" s="3"/>
      <c r="K133" s="3"/>
      <c r="L133" s="3"/>
      <c r="M133" s="3"/>
      <c r="N133" s="3"/>
      <c r="O133" s="3"/>
      <c r="Q133" s="3"/>
      <c r="R133" s="3"/>
      <c r="S133" s="3"/>
      <c r="T133" s="3"/>
      <c r="U133" s="1"/>
      <c r="V133" s="3"/>
      <c r="W133" s="3"/>
      <c r="X133" s="3"/>
      <c r="Y133" s="3"/>
      <c r="Z133" s="3"/>
      <c r="AA133" s="3"/>
      <c r="AB133" s="3"/>
      <c r="AC133" s="3"/>
      <c r="AD133" s="3"/>
      <c r="AE133" s="3"/>
      <c r="AF133" s="3"/>
      <c r="AG133" s="3"/>
      <c r="AH133" s="3"/>
      <c r="AI133" s="3"/>
      <c r="AJ133" s="3"/>
    </row>
    <row r="134" spans="1:36">
      <c r="A134" s="3"/>
      <c r="B134" s="3"/>
      <c r="C134" s="3"/>
      <c r="D134" s="1"/>
      <c r="E134" s="1"/>
      <c r="F134" s="3"/>
      <c r="G134" s="3"/>
      <c r="H134" s="3"/>
      <c r="I134" s="3"/>
      <c r="J134" s="3"/>
      <c r="K134" s="3"/>
      <c r="L134" s="3"/>
      <c r="M134" s="3"/>
      <c r="N134" s="3"/>
      <c r="O134" s="3"/>
      <c r="Q134" s="3"/>
      <c r="R134" s="3"/>
      <c r="S134" s="3"/>
      <c r="T134" s="3"/>
      <c r="U134" s="1"/>
      <c r="V134" s="3"/>
      <c r="W134" s="3"/>
      <c r="X134" s="3"/>
      <c r="Y134" s="3"/>
      <c r="Z134" s="3"/>
      <c r="AA134" s="3"/>
      <c r="AB134" s="3"/>
      <c r="AC134" s="3"/>
      <c r="AD134" s="3"/>
      <c r="AE134" s="3"/>
      <c r="AF134" s="3"/>
      <c r="AG134" s="3"/>
      <c r="AH134" s="3"/>
      <c r="AI134" s="3"/>
      <c r="AJ134" s="3"/>
    </row>
    <row r="135" spans="1:36">
      <c r="A135" s="3"/>
      <c r="B135" s="3"/>
      <c r="C135" s="3"/>
      <c r="D135" s="1"/>
      <c r="E135" s="1"/>
      <c r="F135" s="3"/>
      <c r="G135" s="3"/>
      <c r="H135" s="3"/>
      <c r="I135" s="3"/>
      <c r="J135" s="3"/>
      <c r="K135" s="3"/>
      <c r="L135" s="3"/>
      <c r="M135" s="3"/>
      <c r="N135" s="3"/>
      <c r="O135" s="3"/>
      <c r="Q135" s="3"/>
      <c r="R135" s="3"/>
      <c r="S135" s="3"/>
      <c r="T135" s="3"/>
      <c r="U135" s="1"/>
      <c r="V135" s="3"/>
      <c r="W135" s="3"/>
      <c r="X135" s="3"/>
      <c r="Y135" s="3"/>
      <c r="Z135" s="3"/>
      <c r="AA135" s="3"/>
      <c r="AB135" s="3"/>
      <c r="AC135" s="3"/>
      <c r="AD135" s="3"/>
      <c r="AE135" s="3"/>
      <c r="AF135" s="3"/>
      <c r="AG135" s="3"/>
      <c r="AH135" s="3"/>
      <c r="AI135" s="3"/>
      <c r="AJ135" s="3"/>
    </row>
    <row r="136" spans="1:36">
      <c r="A136" s="3"/>
      <c r="B136" s="3"/>
      <c r="C136" s="3"/>
      <c r="D136" s="1"/>
      <c r="E136" s="1"/>
      <c r="F136" s="3"/>
      <c r="G136" s="3"/>
      <c r="H136" s="3"/>
      <c r="I136" s="3"/>
      <c r="J136" s="3"/>
      <c r="K136" s="3"/>
      <c r="L136" s="3"/>
      <c r="M136" s="3"/>
      <c r="N136" s="3"/>
      <c r="O136" s="3"/>
      <c r="Q136" s="3"/>
      <c r="R136" s="3"/>
      <c r="S136" s="3"/>
      <c r="T136" s="3"/>
      <c r="U136" s="1"/>
      <c r="V136" s="3"/>
      <c r="W136" s="3"/>
      <c r="X136" s="3"/>
      <c r="Y136" s="3"/>
      <c r="Z136" s="3"/>
      <c r="AA136" s="3"/>
      <c r="AB136" s="3"/>
      <c r="AC136" s="3"/>
      <c r="AD136" s="3"/>
      <c r="AE136" s="3"/>
      <c r="AF136" s="3"/>
      <c r="AG136" s="3"/>
      <c r="AH136" s="3"/>
      <c r="AI136" s="3"/>
      <c r="AJ136" s="3"/>
    </row>
    <row r="137" spans="1:36">
      <c r="A137" s="3"/>
      <c r="B137" s="3"/>
      <c r="C137" s="3"/>
      <c r="D137" s="1"/>
      <c r="E137" s="1"/>
      <c r="F137" s="3"/>
      <c r="G137" s="3"/>
      <c r="H137" s="3"/>
      <c r="I137" s="3"/>
      <c r="J137" s="3"/>
      <c r="K137" s="3"/>
      <c r="L137" s="3"/>
      <c r="M137" s="3"/>
      <c r="N137" s="3"/>
      <c r="O137" s="3"/>
      <c r="Q137" s="3"/>
      <c r="R137" s="3"/>
      <c r="S137" s="3"/>
      <c r="T137" s="3"/>
      <c r="U137" s="1"/>
      <c r="V137" s="3"/>
      <c r="W137" s="3"/>
      <c r="X137" s="3"/>
      <c r="Y137" s="3"/>
      <c r="Z137" s="3"/>
      <c r="AA137" s="3"/>
      <c r="AB137" s="3"/>
      <c r="AC137" s="3"/>
      <c r="AD137" s="3"/>
      <c r="AE137" s="3"/>
      <c r="AF137" s="3"/>
      <c r="AG137" s="3"/>
      <c r="AH137" s="3"/>
      <c r="AI137" s="3"/>
      <c r="AJ137" s="3"/>
    </row>
    <row r="138" spans="1:36">
      <c r="A138" s="3"/>
      <c r="B138" s="3"/>
      <c r="C138" s="3"/>
      <c r="D138" s="1"/>
      <c r="E138" s="1"/>
      <c r="F138" s="3"/>
      <c r="G138" s="3"/>
      <c r="H138" s="3"/>
      <c r="I138" s="3"/>
      <c r="J138" s="3"/>
      <c r="K138" s="3"/>
      <c r="L138" s="3"/>
      <c r="M138" s="3"/>
      <c r="N138" s="3"/>
      <c r="O138" s="3"/>
      <c r="Q138" s="3"/>
      <c r="R138" s="3"/>
      <c r="S138" s="3"/>
      <c r="T138" s="3"/>
      <c r="U138" s="1"/>
      <c r="V138" s="3"/>
      <c r="W138" s="3"/>
      <c r="X138" s="3"/>
      <c r="Y138" s="3"/>
      <c r="Z138" s="3"/>
      <c r="AA138" s="3"/>
      <c r="AB138" s="3"/>
      <c r="AC138" s="3"/>
      <c r="AD138" s="3"/>
      <c r="AE138" s="3"/>
      <c r="AF138" s="3"/>
      <c r="AG138" s="3"/>
      <c r="AH138" s="3"/>
      <c r="AI138" s="3"/>
      <c r="AJ138" s="3"/>
    </row>
    <row r="139" spans="1:36">
      <c r="A139" s="3"/>
      <c r="B139" s="3"/>
      <c r="C139" s="3"/>
      <c r="D139" s="1"/>
      <c r="E139" s="1"/>
      <c r="F139" s="3"/>
      <c r="G139" s="3"/>
      <c r="H139" s="3"/>
      <c r="I139" s="3"/>
      <c r="J139" s="3"/>
      <c r="K139" s="3"/>
      <c r="L139" s="3"/>
      <c r="M139" s="3"/>
      <c r="N139" s="3"/>
      <c r="O139" s="3"/>
      <c r="Q139" s="3"/>
      <c r="R139" s="3"/>
      <c r="S139" s="3"/>
      <c r="T139" s="3"/>
      <c r="U139" s="1"/>
      <c r="V139" s="3"/>
      <c r="W139" s="3"/>
      <c r="X139" s="3"/>
      <c r="Y139" s="3"/>
      <c r="Z139" s="3"/>
      <c r="AA139" s="3"/>
      <c r="AB139" s="3"/>
      <c r="AC139" s="3"/>
      <c r="AD139" s="3"/>
      <c r="AE139" s="3"/>
      <c r="AF139" s="3"/>
      <c r="AG139" s="3"/>
      <c r="AH139" s="3"/>
      <c r="AI139" s="3"/>
      <c r="AJ139" s="3"/>
    </row>
    <row r="140" spans="1:36">
      <c r="A140" s="3"/>
      <c r="B140" s="3"/>
      <c r="C140" s="3"/>
      <c r="D140" s="1"/>
      <c r="E140" s="1"/>
      <c r="F140" s="3"/>
      <c r="G140" s="3"/>
      <c r="H140" s="3"/>
      <c r="I140" s="3"/>
      <c r="J140" s="3"/>
      <c r="K140" s="3"/>
      <c r="L140" s="3"/>
      <c r="M140" s="3"/>
      <c r="N140" s="3"/>
      <c r="O140" s="3"/>
      <c r="Q140" s="3"/>
      <c r="R140" s="3"/>
      <c r="S140" s="3"/>
      <c r="T140" s="3"/>
      <c r="U140" s="1"/>
      <c r="V140" s="3"/>
      <c r="W140" s="3"/>
      <c r="X140" s="3"/>
      <c r="Y140" s="3"/>
      <c r="Z140" s="3"/>
      <c r="AA140" s="3"/>
      <c r="AB140" s="3"/>
      <c r="AC140" s="3"/>
      <c r="AD140" s="3"/>
      <c r="AE140" s="3"/>
      <c r="AF140" s="3"/>
      <c r="AG140" s="3"/>
      <c r="AH140" s="3"/>
      <c r="AI140" s="3"/>
      <c r="AJ140" s="3"/>
    </row>
    <row r="141" spans="1:36">
      <c r="A141" s="3"/>
      <c r="B141" s="3"/>
      <c r="C141" s="3"/>
      <c r="D141" s="1"/>
      <c r="E141" s="1"/>
      <c r="F141" s="3"/>
      <c r="G141" s="3"/>
      <c r="H141" s="3"/>
      <c r="I141" s="3"/>
      <c r="J141" s="3"/>
      <c r="K141" s="3"/>
      <c r="L141" s="3"/>
      <c r="M141" s="3"/>
      <c r="N141" s="3"/>
      <c r="O141" s="3"/>
      <c r="Q141" s="3"/>
      <c r="R141" s="3"/>
      <c r="S141" s="3"/>
      <c r="T141" s="3"/>
      <c r="U141" s="1"/>
      <c r="V141" s="3"/>
      <c r="W141" s="3"/>
      <c r="X141" s="3"/>
      <c r="Y141" s="3"/>
      <c r="Z141" s="3"/>
      <c r="AA141" s="3"/>
      <c r="AB141" s="3"/>
      <c r="AC141" s="3"/>
      <c r="AD141" s="3"/>
      <c r="AE141" s="3"/>
      <c r="AF141" s="3"/>
      <c r="AG141" s="3"/>
      <c r="AH141" s="3"/>
      <c r="AI141" s="3"/>
      <c r="AJ141" s="3"/>
    </row>
    <row r="142" spans="1:36">
      <c r="A142" s="3"/>
      <c r="B142" s="3"/>
      <c r="C142" s="3"/>
      <c r="D142" s="1"/>
      <c r="E142" s="1"/>
      <c r="F142" s="3"/>
      <c r="G142" s="3"/>
      <c r="H142" s="3"/>
      <c r="I142" s="3"/>
      <c r="J142" s="3"/>
      <c r="K142" s="3"/>
      <c r="L142" s="3"/>
      <c r="M142" s="3"/>
      <c r="N142" s="3"/>
      <c r="O142" s="3"/>
      <c r="Q142" s="3"/>
      <c r="R142" s="3"/>
      <c r="S142" s="3"/>
      <c r="T142" s="3"/>
      <c r="U142" s="1"/>
      <c r="V142" s="3"/>
      <c r="W142" s="3"/>
      <c r="X142" s="3"/>
      <c r="Y142" s="3"/>
      <c r="Z142" s="3"/>
      <c r="AA142" s="3"/>
      <c r="AB142" s="3"/>
      <c r="AC142" s="3"/>
      <c r="AD142" s="3"/>
      <c r="AE142" s="3"/>
      <c r="AF142" s="3"/>
      <c r="AG142" s="3"/>
      <c r="AH142" s="3"/>
      <c r="AI142" s="3"/>
      <c r="AJ142" s="3"/>
    </row>
    <row r="143" spans="1:36">
      <c r="A143" s="3"/>
      <c r="B143" s="3"/>
      <c r="C143" s="3"/>
      <c r="D143" s="1"/>
      <c r="E143" s="1"/>
      <c r="F143" s="3"/>
      <c r="G143" s="3"/>
      <c r="H143" s="3"/>
      <c r="I143" s="3"/>
      <c r="J143" s="3"/>
      <c r="K143" s="3"/>
      <c r="L143" s="3"/>
      <c r="M143" s="3"/>
      <c r="N143" s="3"/>
      <c r="O143" s="3"/>
      <c r="Q143" s="3"/>
      <c r="R143" s="3"/>
      <c r="S143" s="3"/>
      <c r="T143" s="3"/>
      <c r="U143" s="1"/>
      <c r="V143" s="3"/>
      <c r="W143" s="3"/>
      <c r="X143" s="3"/>
      <c r="Y143" s="3"/>
      <c r="Z143" s="3"/>
      <c r="AA143" s="3"/>
      <c r="AB143" s="3"/>
      <c r="AC143" s="3"/>
      <c r="AD143" s="3"/>
      <c r="AE143" s="3"/>
      <c r="AF143" s="3"/>
      <c r="AG143" s="3"/>
      <c r="AH143" s="3"/>
      <c r="AI143" s="3"/>
      <c r="AJ143" s="3"/>
    </row>
    <row r="144" spans="1:36">
      <c r="A144" s="3"/>
      <c r="B144" s="3"/>
      <c r="C144" s="3"/>
      <c r="D144" s="1"/>
      <c r="E144" s="1"/>
      <c r="F144" s="3"/>
      <c r="G144" s="3"/>
      <c r="H144" s="3"/>
      <c r="I144" s="3"/>
      <c r="J144" s="3"/>
      <c r="K144" s="3"/>
      <c r="L144" s="3"/>
      <c r="M144" s="3"/>
      <c r="N144" s="3"/>
      <c r="O144" s="3"/>
      <c r="Q144" s="3"/>
      <c r="R144" s="3"/>
      <c r="S144" s="3"/>
      <c r="T144" s="3"/>
      <c r="U144" s="1"/>
      <c r="V144" s="3"/>
      <c r="W144" s="3"/>
      <c r="X144" s="3"/>
      <c r="Y144" s="3"/>
      <c r="Z144" s="3"/>
      <c r="AA144" s="3"/>
      <c r="AB144" s="3"/>
      <c r="AC144" s="3"/>
      <c r="AD144" s="3"/>
      <c r="AE144" s="3"/>
      <c r="AF144" s="3"/>
      <c r="AG144" s="3"/>
      <c r="AH144" s="3"/>
      <c r="AI144" s="3"/>
      <c r="AJ144" s="3"/>
    </row>
    <row r="145" spans="1:36">
      <c r="A145" s="3"/>
      <c r="B145" s="3"/>
      <c r="C145" s="3"/>
      <c r="D145" s="1"/>
      <c r="E145" s="1"/>
      <c r="F145" s="3"/>
      <c r="G145" s="3"/>
      <c r="H145" s="3"/>
      <c r="I145" s="3"/>
      <c r="J145" s="3"/>
      <c r="K145" s="3"/>
      <c r="L145" s="3"/>
      <c r="M145" s="3"/>
      <c r="N145" s="3"/>
      <c r="O145" s="3"/>
      <c r="Q145" s="3"/>
      <c r="R145" s="3"/>
      <c r="S145" s="3"/>
      <c r="T145" s="3"/>
      <c r="U145" s="1"/>
      <c r="V145" s="3"/>
      <c r="W145" s="3"/>
      <c r="X145" s="3"/>
      <c r="Y145" s="3"/>
      <c r="Z145" s="3"/>
      <c r="AA145" s="3"/>
      <c r="AB145" s="3"/>
      <c r="AC145" s="3"/>
      <c r="AD145" s="3"/>
      <c r="AE145" s="3"/>
      <c r="AF145" s="3"/>
      <c r="AG145" s="3"/>
      <c r="AH145" s="3"/>
      <c r="AI145" s="3"/>
      <c r="AJ145" s="3"/>
    </row>
    <row r="146" spans="1:36">
      <c r="A146" s="3"/>
      <c r="B146" s="3"/>
      <c r="C146" s="3"/>
      <c r="D146" s="1"/>
      <c r="E146" s="1"/>
      <c r="F146" s="3"/>
      <c r="G146" s="3"/>
      <c r="H146" s="3"/>
      <c r="I146" s="3"/>
      <c r="J146" s="3"/>
      <c r="K146" s="3"/>
      <c r="L146" s="3"/>
      <c r="M146" s="3"/>
      <c r="N146" s="3"/>
      <c r="O146" s="3"/>
      <c r="Q146" s="3"/>
      <c r="R146" s="3"/>
      <c r="S146" s="3"/>
      <c r="T146" s="3"/>
      <c r="U146" s="1"/>
      <c r="V146" s="3"/>
      <c r="W146" s="3"/>
      <c r="X146" s="3"/>
      <c r="Y146" s="3"/>
      <c r="Z146" s="3"/>
      <c r="AA146" s="3"/>
      <c r="AB146" s="3"/>
      <c r="AC146" s="3"/>
      <c r="AD146" s="3"/>
      <c r="AE146" s="3"/>
      <c r="AF146" s="3"/>
      <c r="AG146" s="3"/>
      <c r="AH146" s="3"/>
      <c r="AI146" s="3"/>
      <c r="AJ146" s="3"/>
    </row>
    <row r="147" spans="1:36">
      <c r="A147" s="3"/>
      <c r="B147" s="3"/>
      <c r="C147" s="3"/>
      <c r="D147" s="1"/>
      <c r="E147" s="1"/>
      <c r="F147" s="3"/>
      <c r="G147" s="3"/>
      <c r="H147" s="3"/>
      <c r="I147" s="3"/>
      <c r="J147" s="3"/>
      <c r="K147" s="3"/>
      <c r="L147" s="3"/>
      <c r="M147" s="3"/>
      <c r="N147" s="3"/>
      <c r="O147" s="3"/>
      <c r="Q147" s="3"/>
      <c r="R147" s="3"/>
      <c r="S147" s="3"/>
      <c r="T147" s="3"/>
      <c r="U147" s="1"/>
      <c r="V147" s="3"/>
      <c r="W147" s="3"/>
      <c r="X147" s="3"/>
      <c r="Y147" s="3"/>
      <c r="Z147" s="3"/>
      <c r="AA147" s="3"/>
      <c r="AB147" s="3"/>
      <c r="AC147" s="3"/>
      <c r="AD147" s="3"/>
      <c r="AE147" s="3"/>
      <c r="AF147" s="3"/>
      <c r="AG147" s="3"/>
      <c r="AH147" s="3"/>
      <c r="AI147" s="3"/>
      <c r="AJ147" s="3"/>
    </row>
    <row r="148" spans="1:36">
      <c r="A148" s="3"/>
      <c r="B148" s="3"/>
      <c r="C148" s="3"/>
      <c r="D148" s="1"/>
      <c r="E148" s="1"/>
      <c r="F148" s="3"/>
      <c r="G148" s="3"/>
      <c r="H148" s="3"/>
      <c r="I148" s="3"/>
      <c r="J148" s="3"/>
      <c r="K148" s="3"/>
      <c r="L148" s="3"/>
      <c r="M148" s="3"/>
      <c r="N148" s="3"/>
      <c r="O148" s="3"/>
      <c r="Q148" s="3"/>
      <c r="R148" s="3"/>
      <c r="S148" s="3"/>
      <c r="T148" s="3"/>
      <c r="U148" s="1"/>
      <c r="V148" s="3"/>
      <c r="W148" s="3"/>
      <c r="X148" s="3"/>
      <c r="Y148" s="3"/>
      <c r="Z148" s="3"/>
      <c r="AA148" s="3"/>
      <c r="AB148" s="3"/>
      <c r="AC148" s="3"/>
      <c r="AD148" s="3"/>
      <c r="AE148" s="3"/>
      <c r="AF148" s="3"/>
      <c r="AG148" s="3"/>
      <c r="AH148" s="3"/>
      <c r="AI148" s="3"/>
      <c r="AJ148" s="3"/>
    </row>
    <row r="149" spans="1:36">
      <c r="A149" s="3"/>
      <c r="B149" s="3"/>
      <c r="C149" s="3"/>
      <c r="D149" s="1"/>
      <c r="E149" s="1"/>
      <c r="F149" s="3"/>
      <c r="G149" s="3"/>
      <c r="H149" s="3"/>
      <c r="I149" s="3"/>
      <c r="J149" s="3"/>
      <c r="K149" s="3"/>
      <c r="L149" s="3"/>
      <c r="M149" s="3"/>
      <c r="N149" s="3"/>
      <c r="O149" s="3"/>
      <c r="Q149" s="3"/>
      <c r="R149" s="3"/>
      <c r="S149" s="3"/>
      <c r="T149" s="3"/>
      <c r="U149" s="1"/>
      <c r="V149" s="3"/>
      <c r="W149" s="3"/>
      <c r="X149" s="3"/>
      <c r="Y149" s="3"/>
      <c r="Z149" s="3"/>
      <c r="AA149" s="3"/>
      <c r="AB149" s="3"/>
      <c r="AC149" s="3"/>
      <c r="AD149" s="3"/>
      <c r="AE149" s="3"/>
      <c r="AF149" s="3"/>
      <c r="AG149" s="3"/>
      <c r="AH149" s="3"/>
      <c r="AI149" s="3"/>
      <c r="AJ149" s="3"/>
    </row>
    <row r="150" spans="1:36">
      <c r="A150" s="3"/>
      <c r="B150" s="3"/>
      <c r="C150" s="3"/>
      <c r="D150" s="1"/>
      <c r="E150" s="1"/>
      <c r="F150" s="3"/>
      <c r="G150" s="3"/>
      <c r="H150" s="3"/>
      <c r="I150" s="3"/>
      <c r="J150" s="3"/>
      <c r="K150" s="3"/>
      <c r="L150" s="3"/>
      <c r="M150" s="3"/>
      <c r="N150" s="3"/>
      <c r="O150" s="3"/>
      <c r="Q150" s="3"/>
      <c r="R150" s="3"/>
      <c r="S150" s="3"/>
      <c r="T150" s="3"/>
      <c r="U150" s="1"/>
      <c r="V150" s="3"/>
      <c r="W150" s="3"/>
      <c r="X150" s="3"/>
      <c r="Y150" s="3"/>
      <c r="Z150" s="3"/>
      <c r="AA150" s="3"/>
      <c r="AB150" s="3"/>
      <c r="AC150" s="3"/>
      <c r="AD150" s="3"/>
      <c r="AE150" s="3"/>
      <c r="AF150" s="3"/>
      <c r="AG150" s="3"/>
      <c r="AH150" s="3"/>
      <c r="AI150" s="3"/>
      <c r="AJ150" s="3"/>
    </row>
    <row r="151" spans="1:36">
      <c r="A151" s="3"/>
      <c r="B151" s="3"/>
      <c r="C151" s="3"/>
      <c r="D151" s="1"/>
      <c r="E151" s="1"/>
      <c r="F151" s="3"/>
      <c r="G151" s="3"/>
      <c r="H151" s="3"/>
      <c r="I151" s="3"/>
      <c r="J151" s="3"/>
      <c r="K151" s="3"/>
      <c r="L151" s="3"/>
      <c r="M151" s="3"/>
      <c r="N151" s="3"/>
      <c r="O151" s="3"/>
      <c r="Q151" s="3"/>
      <c r="R151" s="3"/>
      <c r="S151" s="3"/>
      <c r="T151" s="3"/>
      <c r="U151" s="1"/>
      <c r="V151" s="3"/>
      <c r="W151" s="3"/>
      <c r="X151" s="3"/>
      <c r="Y151" s="3"/>
      <c r="Z151" s="3"/>
      <c r="AA151" s="3"/>
      <c r="AB151" s="3"/>
      <c r="AC151" s="3"/>
      <c r="AD151" s="3"/>
      <c r="AE151" s="3"/>
      <c r="AF151" s="3"/>
      <c r="AG151" s="3"/>
      <c r="AH151" s="3"/>
      <c r="AI151" s="3"/>
      <c r="AJ151" s="3"/>
    </row>
    <row r="152" spans="1:36">
      <c r="A152" s="3"/>
      <c r="B152" s="3"/>
      <c r="C152" s="3"/>
      <c r="D152" s="1"/>
      <c r="E152" s="1"/>
      <c r="F152" s="3"/>
      <c r="G152" s="3"/>
      <c r="H152" s="3"/>
      <c r="I152" s="3"/>
      <c r="J152" s="3"/>
      <c r="K152" s="3"/>
      <c r="L152" s="3"/>
      <c r="M152" s="3"/>
      <c r="N152" s="3"/>
      <c r="O152" s="3"/>
      <c r="Q152" s="3"/>
      <c r="R152" s="3"/>
      <c r="S152" s="3"/>
      <c r="T152" s="3"/>
      <c r="U152" s="1"/>
      <c r="V152" s="3"/>
      <c r="W152" s="3"/>
      <c r="X152" s="3"/>
      <c r="Y152" s="3"/>
      <c r="Z152" s="3"/>
      <c r="AA152" s="3"/>
      <c r="AB152" s="3"/>
      <c r="AC152" s="3"/>
      <c r="AD152" s="3"/>
      <c r="AE152" s="3"/>
      <c r="AF152" s="3"/>
      <c r="AG152" s="3"/>
      <c r="AH152" s="3"/>
      <c r="AI152" s="3"/>
      <c r="AJ152" s="3"/>
    </row>
    <row r="153" spans="1:36">
      <c r="A153" s="3"/>
      <c r="B153" s="3"/>
      <c r="C153" s="3"/>
      <c r="D153" s="1"/>
      <c r="E153" s="1"/>
      <c r="F153" s="3"/>
      <c r="G153" s="3"/>
      <c r="H153" s="3"/>
      <c r="I153" s="3"/>
      <c r="J153" s="3"/>
      <c r="K153" s="3"/>
      <c r="L153" s="3"/>
      <c r="M153" s="3"/>
      <c r="N153" s="3"/>
      <c r="O153" s="3"/>
      <c r="Q153" s="3"/>
      <c r="R153" s="3"/>
      <c r="S153" s="3"/>
      <c r="T153" s="3"/>
      <c r="U153" s="1"/>
      <c r="V153" s="3"/>
      <c r="W153" s="3"/>
      <c r="X153" s="3"/>
      <c r="Y153" s="3"/>
      <c r="Z153" s="3"/>
      <c r="AA153" s="3"/>
      <c r="AB153" s="3"/>
      <c r="AC153" s="3"/>
      <c r="AD153" s="3"/>
      <c r="AE153" s="3"/>
      <c r="AF153" s="3"/>
      <c r="AG153" s="3"/>
      <c r="AH153" s="3"/>
      <c r="AI153" s="3"/>
      <c r="AJ153" s="3"/>
    </row>
    <row r="154" spans="1:36">
      <c r="A154" s="3"/>
      <c r="B154" s="3"/>
      <c r="C154" s="3"/>
      <c r="D154" s="1"/>
      <c r="E154" s="1"/>
      <c r="F154" s="3"/>
      <c r="G154" s="3"/>
      <c r="H154" s="3"/>
      <c r="I154" s="3"/>
      <c r="J154" s="3"/>
      <c r="K154" s="3"/>
      <c r="L154" s="3"/>
      <c r="M154" s="3"/>
      <c r="N154" s="3"/>
      <c r="O154" s="3"/>
      <c r="Q154" s="3"/>
      <c r="R154" s="3"/>
      <c r="S154" s="3"/>
      <c r="T154" s="3"/>
      <c r="U154" s="1"/>
      <c r="V154" s="3"/>
      <c r="W154" s="3"/>
      <c r="X154" s="3"/>
      <c r="Y154" s="3"/>
      <c r="Z154" s="3"/>
      <c r="AA154" s="3"/>
      <c r="AB154" s="3"/>
      <c r="AC154" s="3"/>
      <c r="AD154" s="3"/>
      <c r="AE154" s="3"/>
      <c r="AF154" s="3"/>
      <c r="AG154" s="3"/>
      <c r="AH154" s="3"/>
      <c r="AI154" s="3"/>
      <c r="AJ154" s="3"/>
    </row>
    <row r="155" spans="1:36">
      <c r="A155" s="3"/>
      <c r="B155" s="3"/>
      <c r="C155" s="3"/>
      <c r="D155" s="1"/>
      <c r="E155" s="1"/>
      <c r="F155" s="3"/>
      <c r="G155" s="3"/>
      <c r="H155" s="3"/>
      <c r="I155" s="3"/>
      <c r="J155" s="3"/>
      <c r="K155" s="3"/>
      <c r="L155" s="3"/>
      <c r="M155" s="3"/>
      <c r="N155" s="3"/>
      <c r="O155" s="3"/>
      <c r="Q155" s="3"/>
      <c r="R155" s="3"/>
      <c r="S155" s="3"/>
      <c r="T155" s="3"/>
      <c r="U155" s="1"/>
      <c r="V155" s="3"/>
      <c r="W155" s="3"/>
      <c r="X155" s="3"/>
      <c r="Y155" s="3"/>
      <c r="Z155" s="3"/>
      <c r="AA155" s="3"/>
      <c r="AB155" s="3"/>
      <c r="AC155" s="3"/>
      <c r="AD155" s="3"/>
      <c r="AE155" s="3"/>
      <c r="AF155" s="3"/>
      <c r="AG155" s="3"/>
      <c r="AH155" s="3"/>
      <c r="AI155" s="3"/>
      <c r="AJ155" s="3"/>
    </row>
    <row r="156" spans="1:36">
      <c r="A156" s="3"/>
      <c r="B156" s="3"/>
      <c r="C156" s="3"/>
      <c r="D156" s="1"/>
      <c r="E156" s="1"/>
      <c r="F156" s="3"/>
      <c r="G156" s="3"/>
      <c r="H156" s="3"/>
      <c r="I156" s="3"/>
      <c r="J156" s="3"/>
      <c r="K156" s="3"/>
      <c r="L156" s="3"/>
      <c r="M156" s="3"/>
      <c r="N156" s="3"/>
      <c r="O156" s="3"/>
      <c r="Q156" s="3"/>
      <c r="R156" s="3"/>
      <c r="S156" s="3"/>
      <c r="T156" s="3"/>
      <c r="U156" s="1"/>
      <c r="V156" s="3"/>
      <c r="W156" s="3"/>
      <c r="X156" s="3"/>
      <c r="Y156" s="3"/>
      <c r="Z156" s="3"/>
      <c r="AA156" s="3"/>
      <c r="AB156" s="3"/>
      <c r="AC156" s="3"/>
      <c r="AD156" s="3"/>
      <c r="AE156" s="3"/>
      <c r="AF156" s="3"/>
      <c r="AG156" s="3"/>
      <c r="AH156" s="3"/>
      <c r="AI156" s="3"/>
      <c r="AJ156" s="3"/>
    </row>
    <row r="157" spans="1:36">
      <c r="A157" s="3"/>
      <c r="B157" s="3"/>
      <c r="C157" s="3"/>
      <c r="D157" s="1"/>
      <c r="E157" s="1"/>
      <c r="F157" s="3"/>
      <c r="G157" s="3"/>
      <c r="H157" s="3"/>
      <c r="I157" s="3"/>
      <c r="J157" s="3"/>
      <c r="K157" s="3"/>
      <c r="L157" s="3"/>
      <c r="M157" s="3"/>
      <c r="N157" s="3"/>
      <c r="O157" s="3"/>
      <c r="Q157" s="3"/>
      <c r="R157" s="3"/>
      <c r="S157" s="3"/>
      <c r="T157" s="3"/>
      <c r="U157" s="1"/>
      <c r="V157" s="3"/>
      <c r="W157" s="3"/>
      <c r="X157" s="3"/>
      <c r="Y157" s="3"/>
      <c r="Z157" s="3"/>
      <c r="AA157" s="3"/>
      <c r="AB157" s="3"/>
      <c r="AC157" s="3"/>
      <c r="AD157" s="3"/>
      <c r="AE157" s="3"/>
      <c r="AF157" s="3"/>
      <c r="AG157" s="3"/>
      <c r="AH157" s="3"/>
      <c r="AI157" s="3"/>
      <c r="AJ157" s="3"/>
    </row>
    <row r="158" spans="1:36">
      <c r="A158" s="3"/>
      <c r="B158" s="3"/>
      <c r="C158" s="3"/>
      <c r="D158" s="1"/>
      <c r="E158" s="1"/>
      <c r="F158" s="3"/>
      <c r="G158" s="3"/>
      <c r="H158" s="3"/>
      <c r="I158" s="3"/>
      <c r="J158" s="3"/>
      <c r="K158" s="3"/>
      <c r="L158" s="3"/>
      <c r="M158" s="3"/>
      <c r="N158" s="3"/>
      <c r="O158" s="3"/>
      <c r="Q158" s="3"/>
      <c r="R158" s="3"/>
      <c r="S158" s="3"/>
      <c r="T158" s="3"/>
      <c r="U158" s="1"/>
      <c r="V158" s="3"/>
      <c r="W158" s="3"/>
      <c r="X158" s="3"/>
      <c r="Y158" s="3"/>
      <c r="Z158" s="3"/>
      <c r="AA158" s="3"/>
      <c r="AB158" s="3"/>
      <c r="AC158" s="3"/>
      <c r="AD158" s="3"/>
      <c r="AE158" s="3"/>
      <c r="AF158" s="3"/>
      <c r="AG158" s="3"/>
      <c r="AH158" s="3"/>
      <c r="AI158" s="3"/>
      <c r="AJ158" s="3"/>
    </row>
    <row r="159" spans="1:36">
      <c r="A159" s="3"/>
      <c r="B159" s="3"/>
      <c r="C159" s="3"/>
      <c r="D159" s="1"/>
      <c r="E159" s="1"/>
      <c r="F159" s="3"/>
      <c r="G159" s="3"/>
      <c r="H159" s="3"/>
      <c r="I159" s="3"/>
      <c r="J159" s="3"/>
      <c r="K159" s="3"/>
      <c r="L159" s="3"/>
      <c r="M159" s="3"/>
      <c r="N159" s="3"/>
      <c r="O159" s="3"/>
      <c r="Q159" s="3"/>
      <c r="R159" s="3"/>
      <c r="S159" s="3"/>
      <c r="T159" s="3"/>
      <c r="U159" s="1"/>
      <c r="V159" s="3"/>
      <c r="W159" s="3"/>
      <c r="X159" s="3"/>
      <c r="Y159" s="3"/>
      <c r="Z159" s="3"/>
      <c r="AA159" s="3"/>
      <c r="AB159" s="3"/>
      <c r="AC159" s="3"/>
      <c r="AD159" s="3"/>
      <c r="AE159" s="3"/>
      <c r="AF159" s="3"/>
      <c r="AG159" s="3"/>
      <c r="AH159" s="3"/>
      <c r="AI159" s="3"/>
      <c r="AJ159" s="3"/>
    </row>
    <row r="160" spans="1:36">
      <c r="A160" s="3"/>
      <c r="B160" s="3"/>
      <c r="C160" s="3"/>
      <c r="D160" s="1"/>
      <c r="E160" s="1"/>
      <c r="F160" s="3"/>
      <c r="G160" s="3"/>
      <c r="H160" s="3"/>
      <c r="I160" s="3"/>
      <c r="J160" s="3"/>
      <c r="K160" s="3"/>
      <c r="L160" s="3"/>
      <c r="M160" s="3"/>
      <c r="N160" s="3"/>
      <c r="O160" s="3"/>
      <c r="Q160" s="3"/>
      <c r="R160" s="3"/>
      <c r="S160" s="3"/>
      <c r="T160" s="3"/>
      <c r="U160" s="1"/>
      <c r="V160" s="3"/>
      <c r="W160" s="3"/>
      <c r="X160" s="3"/>
      <c r="Y160" s="3"/>
      <c r="Z160" s="3"/>
      <c r="AA160" s="3"/>
      <c r="AB160" s="3"/>
      <c r="AC160" s="3"/>
      <c r="AD160" s="3"/>
      <c r="AE160" s="3"/>
      <c r="AF160" s="3"/>
      <c r="AG160" s="3"/>
      <c r="AH160" s="3"/>
      <c r="AI160" s="3"/>
      <c r="AJ160" s="3"/>
    </row>
    <row r="161" spans="1:36">
      <c r="A161" s="3"/>
      <c r="B161" s="3"/>
      <c r="C161" s="3"/>
      <c r="D161" s="1"/>
      <c r="E161" s="1"/>
      <c r="F161" s="3"/>
      <c r="G161" s="3"/>
      <c r="H161" s="3"/>
      <c r="I161" s="3"/>
      <c r="J161" s="3"/>
      <c r="K161" s="3"/>
      <c r="L161" s="3"/>
      <c r="M161" s="3"/>
      <c r="N161" s="3"/>
      <c r="O161" s="3"/>
      <c r="Q161" s="3"/>
      <c r="R161" s="3"/>
      <c r="S161" s="3"/>
      <c r="T161" s="3"/>
      <c r="U161" s="1"/>
      <c r="V161" s="3"/>
      <c r="W161" s="3"/>
      <c r="X161" s="3"/>
      <c r="Y161" s="3"/>
      <c r="Z161" s="3"/>
      <c r="AA161" s="3"/>
      <c r="AB161" s="3"/>
      <c r="AC161" s="3"/>
      <c r="AD161" s="3"/>
      <c r="AE161" s="3"/>
      <c r="AF161" s="3"/>
      <c r="AG161" s="3"/>
      <c r="AH161" s="3"/>
      <c r="AI161" s="3"/>
      <c r="AJ161" s="3"/>
    </row>
    <row r="162" spans="1:36">
      <c r="A162" s="3"/>
      <c r="B162" s="3"/>
      <c r="C162" s="3"/>
      <c r="D162" s="1"/>
      <c r="E162" s="1"/>
      <c r="F162" s="3"/>
      <c r="G162" s="3"/>
      <c r="H162" s="3"/>
      <c r="I162" s="3"/>
      <c r="J162" s="3"/>
      <c r="K162" s="3"/>
      <c r="L162" s="3"/>
      <c r="M162" s="3"/>
      <c r="N162" s="3"/>
      <c r="O162" s="3"/>
      <c r="Q162" s="3"/>
      <c r="R162" s="3"/>
      <c r="S162" s="3"/>
      <c r="T162" s="3"/>
      <c r="U162" s="1"/>
      <c r="V162" s="3"/>
      <c r="W162" s="3"/>
      <c r="X162" s="3"/>
      <c r="Y162" s="3"/>
      <c r="Z162" s="3"/>
      <c r="AA162" s="3"/>
      <c r="AB162" s="3"/>
      <c r="AC162" s="3"/>
      <c r="AD162" s="3"/>
      <c r="AE162" s="3"/>
      <c r="AF162" s="3"/>
      <c r="AG162" s="3"/>
      <c r="AH162" s="3"/>
      <c r="AI162" s="3"/>
      <c r="AJ162" s="3"/>
    </row>
    <row r="163" spans="1:36">
      <c r="A163" s="3"/>
      <c r="B163" s="3"/>
      <c r="C163" s="3"/>
      <c r="D163" s="1"/>
      <c r="E163" s="1"/>
      <c r="F163" s="3"/>
      <c r="G163" s="3"/>
      <c r="H163" s="3"/>
      <c r="I163" s="3"/>
      <c r="J163" s="3"/>
      <c r="K163" s="3"/>
      <c r="L163" s="3"/>
      <c r="M163" s="3"/>
      <c r="N163" s="3"/>
      <c r="O163" s="3"/>
      <c r="Q163" s="3"/>
      <c r="R163" s="3"/>
      <c r="S163" s="3"/>
      <c r="T163" s="3"/>
      <c r="U163" s="1"/>
      <c r="V163" s="3"/>
      <c r="W163" s="3"/>
      <c r="X163" s="3"/>
      <c r="Y163" s="3"/>
      <c r="Z163" s="3"/>
      <c r="AA163" s="3"/>
      <c r="AB163" s="3"/>
      <c r="AC163" s="3"/>
      <c r="AD163" s="3"/>
      <c r="AE163" s="3"/>
      <c r="AF163" s="3"/>
      <c r="AG163" s="3"/>
      <c r="AH163" s="3"/>
      <c r="AI163" s="3"/>
      <c r="AJ163" s="3"/>
    </row>
    <row r="164" spans="1:36">
      <c r="A164" s="3"/>
      <c r="B164" s="3"/>
      <c r="C164" s="3"/>
      <c r="D164" s="1"/>
      <c r="E164" s="1"/>
      <c r="F164" s="3"/>
      <c r="G164" s="3"/>
      <c r="H164" s="3"/>
      <c r="I164" s="3"/>
      <c r="J164" s="3"/>
      <c r="K164" s="3"/>
      <c r="L164" s="3"/>
      <c r="M164" s="3"/>
      <c r="N164" s="3"/>
      <c r="O164" s="3"/>
      <c r="Q164" s="3"/>
      <c r="R164" s="3"/>
      <c r="S164" s="3"/>
      <c r="T164" s="3"/>
      <c r="U164" s="1"/>
      <c r="V164" s="3"/>
      <c r="W164" s="3"/>
      <c r="X164" s="3"/>
      <c r="Y164" s="3"/>
      <c r="Z164" s="3"/>
      <c r="AA164" s="3"/>
      <c r="AB164" s="3"/>
      <c r="AC164" s="3"/>
      <c r="AD164" s="3"/>
      <c r="AE164" s="3"/>
      <c r="AF164" s="3"/>
      <c r="AG164" s="3"/>
      <c r="AH164" s="3"/>
      <c r="AI164" s="3"/>
      <c r="AJ164" s="3"/>
    </row>
    <row r="165" spans="1:36">
      <c r="A165" s="3"/>
      <c r="B165" s="3"/>
      <c r="C165" s="3"/>
      <c r="D165" s="1"/>
      <c r="E165" s="1"/>
      <c r="F165" s="3"/>
      <c r="G165" s="3"/>
      <c r="H165" s="3"/>
      <c r="I165" s="3"/>
      <c r="J165" s="3"/>
      <c r="K165" s="3"/>
      <c r="L165" s="3"/>
      <c r="M165" s="3"/>
      <c r="N165" s="3"/>
      <c r="O165" s="3"/>
      <c r="Q165" s="3"/>
      <c r="R165" s="3"/>
      <c r="S165" s="3"/>
      <c r="T165" s="3"/>
      <c r="U165" s="1"/>
      <c r="V165" s="3"/>
      <c r="W165" s="3"/>
      <c r="X165" s="3"/>
      <c r="Y165" s="3"/>
      <c r="Z165" s="3"/>
      <c r="AA165" s="3"/>
      <c r="AB165" s="3"/>
      <c r="AC165" s="3"/>
      <c r="AD165" s="3"/>
      <c r="AE165" s="3"/>
      <c r="AF165" s="3"/>
      <c r="AG165" s="3"/>
      <c r="AH165" s="3"/>
      <c r="AI165" s="3"/>
      <c r="AJ165" s="3"/>
    </row>
    <row r="166" spans="1:36">
      <c r="A166" s="3"/>
      <c r="B166" s="3"/>
      <c r="C166" s="3"/>
      <c r="D166" s="1"/>
      <c r="E166" s="1"/>
      <c r="F166" s="3"/>
      <c r="G166" s="3"/>
      <c r="H166" s="3"/>
      <c r="I166" s="3"/>
      <c r="J166" s="3"/>
      <c r="K166" s="3"/>
      <c r="L166" s="3"/>
      <c r="M166" s="3"/>
      <c r="N166" s="3"/>
      <c r="O166" s="3"/>
      <c r="Q166" s="3"/>
      <c r="R166" s="3"/>
      <c r="S166" s="3"/>
      <c r="T166" s="3"/>
      <c r="U166" s="1"/>
      <c r="V166" s="3"/>
      <c r="W166" s="3"/>
      <c r="X166" s="3"/>
      <c r="Y166" s="3"/>
      <c r="Z166" s="3"/>
      <c r="AA166" s="3"/>
      <c r="AB166" s="3"/>
      <c r="AC166" s="3"/>
      <c r="AD166" s="3"/>
      <c r="AE166" s="3"/>
      <c r="AF166" s="3"/>
      <c r="AG166" s="3"/>
      <c r="AH166" s="3"/>
      <c r="AI166" s="3"/>
      <c r="AJ166" s="3"/>
    </row>
    <row r="167" spans="1:36">
      <c r="A167" s="3"/>
      <c r="B167" s="3"/>
      <c r="C167" s="3"/>
      <c r="D167" s="1"/>
      <c r="E167" s="1"/>
      <c r="F167" s="3"/>
      <c r="G167" s="3"/>
      <c r="H167" s="3"/>
      <c r="I167" s="3"/>
      <c r="J167" s="3"/>
      <c r="K167" s="3"/>
      <c r="L167" s="3"/>
      <c r="M167" s="3"/>
      <c r="N167" s="3"/>
      <c r="O167" s="3"/>
      <c r="Q167" s="3"/>
      <c r="R167" s="3"/>
      <c r="S167" s="3"/>
      <c r="T167" s="3"/>
      <c r="U167" s="1"/>
      <c r="V167" s="3"/>
      <c r="W167" s="3"/>
      <c r="X167" s="3"/>
      <c r="Y167" s="3"/>
      <c r="Z167" s="3"/>
      <c r="AA167" s="3"/>
      <c r="AB167" s="3"/>
      <c r="AC167" s="3"/>
      <c r="AD167" s="3"/>
      <c r="AE167" s="3"/>
      <c r="AF167" s="3"/>
      <c r="AG167" s="3"/>
      <c r="AH167" s="3"/>
      <c r="AI167" s="3"/>
      <c r="AJ167" s="3"/>
    </row>
    <row r="168" spans="1:36">
      <c r="A168" s="3"/>
      <c r="B168" s="3"/>
      <c r="C168" s="3"/>
      <c r="D168" s="1"/>
      <c r="E168" s="1"/>
      <c r="F168" s="3"/>
      <c r="G168" s="3"/>
      <c r="H168" s="3"/>
      <c r="I168" s="3"/>
      <c r="J168" s="3"/>
      <c r="K168" s="3"/>
      <c r="L168" s="3"/>
      <c r="M168" s="3"/>
      <c r="N168" s="3"/>
      <c r="O168" s="3"/>
      <c r="Q168" s="3"/>
      <c r="R168" s="3"/>
      <c r="S168" s="3"/>
      <c r="T168" s="3"/>
      <c r="U168" s="1"/>
      <c r="V168" s="3"/>
      <c r="W168" s="3"/>
      <c r="X168" s="3"/>
      <c r="Y168" s="3"/>
      <c r="Z168" s="3"/>
      <c r="AA168" s="3"/>
      <c r="AB168" s="3"/>
      <c r="AC168" s="3"/>
      <c r="AD168" s="3"/>
      <c r="AE168" s="3"/>
      <c r="AF168" s="3"/>
      <c r="AG168" s="3"/>
      <c r="AH168" s="3"/>
      <c r="AI168" s="3"/>
      <c r="AJ168" s="3"/>
    </row>
    <row r="169" spans="1:36">
      <c r="A169" s="3"/>
      <c r="B169" s="3"/>
      <c r="C169" s="3"/>
      <c r="D169" s="1"/>
      <c r="E169" s="1"/>
      <c r="F169" s="3"/>
      <c r="G169" s="3"/>
      <c r="H169" s="3"/>
      <c r="I169" s="3"/>
      <c r="J169" s="3"/>
      <c r="K169" s="3"/>
      <c r="L169" s="3"/>
      <c r="M169" s="3"/>
      <c r="N169" s="3"/>
      <c r="O169" s="3"/>
      <c r="Q169" s="3"/>
      <c r="R169" s="3"/>
      <c r="S169" s="3"/>
      <c r="T169" s="3"/>
      <c r="U169" s="1"/>
      <c r="V169" s="3"/>
      <c r="W169" s="3"/>
      <c r="X169" s="3"/>
      <c r="Y169" s="3"/>
      <c r="Z169" s="3"/>
      <c r="AA169" s="3"/>
      <c r="AB169" s="3"/>
      <c r="AC169" s="3"/>
      <c r="AD169" s="3"/>
      <c r="AE169" s="3"/>
      <c r="AF169" s="3"/>
      <c r="AG169" s="3"/>
      <c r="AH169" s="3"/>
      <c r="AI169" s="3"/>
      <c r="AJ169" s="3"/>
    </row>
    <row r="170" spans="1:36">
      <c r="A170" s="3"/>
      <c r="B170" s="3"/>
      <c r="C170" s="3"/>
      <c r="D170" s="1"/>
      <c r="E170" s="1"/>
      <c r="F170" s="3"/>
      <c r="G170" s="3"/>
      <c r="H170" s="3"/>
      <c r="I170" s="3"/>
      <c r="J170" s="3"/>
      <c r="K170" s="3"/>
      <c r="L170" s="3"/>
      <c r="M170" s="3"/>
      <c r="N170" s="3"/>
      <c r="O170" s="3"/>
      <c r="Q170" s="3"/>
      <c r="R170" s="3"/>
      <c r="S170" s="3"/>
      <c r="T170" s="3"/>
      <c r="U170" s="1"/>
      <c r="V170" s="3"/>
      <c r="W170" s="3"/>
      <c r="X170" s="3"/>
      <c r="Y170" s="3"/>
      <c r="Z170" s="3"/>
      <c r="AA170" s="3"/>
      <c r="AB170" s="3"/>
      <c r="AC170" s="3"/>
      <c r="AD170" s="3"/>
      <c r="AE170" s="3"/>
      <c r="AF170" s="3"/>
      <c r="AG170" s="3"/>
      <c r="AH170" s="3"/>
      <c r="AI170" s="3"/>
      <c r="AJ170" s="3"/>
    </row>
    <row r="171" spans="1:36">
      <c r="A171" s="3"/>
      <c r="B171" s="3"/>
      <c r="C171" s="3"/>
      <c r="D171" s="1"/>
      <c r="E171" s="1"/>
      <c r="F171" s="3"/>
      <c r="G171" s="3"/>
      <c r="H171" s="3"/>
      <c r="I171" s="3"/>
      <c r="J171" s="3"/>
      <c r="K171" s="3"/>
      <c r="L171" s="3"/>
      <c r="M171" s="3"/>
      <c r="N171" s="3"/>
      <c r="O171" s="3"/>
      <c r="Q171" s="3"/>
      <c r="R171" s="3"/>
      <c r="S171" s="3"/>
      <c r="T171" s="3"/>
      <c r="U171" s="1"/>
      <c r="V171" s="3"/>
      <c r="W171" s="3"/>
      <c r="X171" s="3"/>
      <c r="Y171" s="3"/>
      <c r="Z171" s="3"/>
      <c r="AA171" s="3"/>
      <c r="AB171" s="3"/>
      <c r="AC171" s="3"/>
      <c r="AD171" s="3"/>
      <c r="AE171" s="3"/>
      <c r="AF171" s="3"/>
      <c r="AG171" s="3"/>
      <c r="AH171" s="3"/>
      <c r="AI171" s="3"/>
      <c r="AJ171" s="3"/>
    </row>
    <row r="172" spans="1:36">
      <c r="A172" s="3"/>
      <c r="B172" s="3"/>
      <c r="C172" s="3"/>
      <c r="D172" s="1"/>
      <c r="E172" s="1"/>
      <c r="F172" s="3"/>
      <c r="G172" s="3"/>
      <c r="H172" s="3"/>
      <c r="I172" s="3"/>
      <c r="J172" s="3"/>
      <c r="K172" s="3"/>
      <c r="L172" s="3"/>
      <c r="M172" s="3"/>
      <c r="N172" s="3"/>
      <c r="O172" s="3"/>
      <c r="Q172" s="3"/>
      <c r="R172" s="3"/>
      <c r="S172" s="3"/>
      <c r="T172" s="3"/>
      <c r="U172" s="1"/>
      <c r="V172" s="3"/>
      <c r="W172" s="3"/>
      <c r="X172" s="3"/>
      <c r="Y172" s="3"/>
      <c r="Z172" s="3"/>
      <c r="AA172" s="3"/>
      <c r="AB172" s="3"/>
      <c r="AC172" s="3"/>
      <c r="AD172" s="3"/>
      <c r="AE172" s="3"/>
      <c r="AF172" s="3"/>
      <c r="AG172" s="3"/>
      <c r="AH172" s="3"/>
      <c r="AI172" s="3"/>
      <c r="AJ172" s="3"/>
    </row>
    <row r="173" spans="1:36">
      <c r="A173" s="3"/>
      <c r="B173" s="3"/>
      <c r="C173" s="3"/>
      <c r="D173" s="1"/>
      <c r="E173" s="1"/>
      <c r="F173" s="3"/>
      <c r="G173" s="3"/>
      <c r="H173" s="3"/>
      <c r="I173" s="3"/>
      <c r="J173" s="3"/>
      <c r="K173" s="3"/>
      <c r="L173" s="3"/>
      <c r="M173" s="3"/>
      <c r="N173" s="3"/>
      <c r="O173" s="3"/>
      <c r="Q173" s="3"/>
      <c r="R173" s="3"/>
      <c r="S173" s="3"/>
      <c r="T173" s="3"/>
      <c r="U173" s="1"/>
      <c r="V173" s="3"/>
      <c r="W173" s="3"/>
      <c r="X173" s="3"/>
      <c r="Y173" s="3"/>
      <c r="Z173" s="3"/>
      <c r="AA173" s="3"/>
      <c r="AB173" s="3"/>
      <c r="AC173" s="3"/>
      <c r="AD173" s="3"/>
      <c r="AE173" s="3"/>
      <c r="AF173" s="3"/>
      <c r="AG173" s="3"/>
      <c r="AH173" s="3"/>
      <c r="AI173" s="3"/>
      <c r="AJ173" s="3"/>
    </row>
    <row r="174" spans="1:36">
      <c r="A174" s="3"/>
      <c r="B174" s="3"/>
      <c r="C174" s="3"/>
      <c r="D174" s="1"/>
      <c r="E174" s="1"/>
      <c r="F174" s="3"/>
      <c r="G174" s="3"/>
      <c r="H174" s="3"/>
      <c r="I174" s="3"/>
      <c r="J174" s="3"/>
      <c r="K174" s="3"/>
      <c r="L174" s="3"/>
      <c r="M174" s="3"/>
      <c r="N174" s="3"/>
      <c r="O174" s="3"/>
      <c r="Q174" s="3"/>
      <c r="R174" s="3"/>
      <c r="S174" s="3"/>
      <c r="T174" s="3"/>
      <c r="U174" s="1"/>
      <c r="V174" s="3"/>
      <c r="W174" s="3"/>
      <c r="X174" s="3"/>
      <c r="Y174" s="3"/>
      <c r="Z174" s="3"/>
      <c r="AA174" s="3"/>
      <c r="AB174" s="3"/>
      <c r="AC174" s="3"/>
      <c r="AD174" s="3"/>
      <c r="AE174" s="3"/>
      <c r="AF174" s="3"/>
      <c r="AG174" s="3"/>
      <c r="AH174" s="3"/>
      <c r="AI174" s="3"/>
      <c r="AJ174" s="3"/>
    </row>
    <row r="175" spans="1:36">
      <c r="A175" s="3"/>
      <c r="B175" s="3"/>
      <c r="C175" s="3"/>
      <c r="D175" s="1"/>
      <c r="E175" s="1"/>
      <c r="F175" s="3"/>
      <c r="G175" s="3"/>
      <c r="H175" s="3"/>
      <c r="I175" s="3"/>
      <c r="J175" s="3"/>
      <c r="K175" s="3"/>
      <c r="L175" s="3"/>
      <c r="M175" s="3"/>
      <c r="N175" s="3"/>
      <c r="O175" s="3"/>
      <c r="Q175" s="3"/>
      <c r="R175" s="3"/>
      <c r="S175" s="3"/>
      <c r="T175" s="3"/>
      <c r="U175" s="1"/>
      <c r="V175" s="3"/>
      <c r="W175" s="3"/>
      <c r="X175" s="3"/>
      <c r="Y175" s="3"/>
      <c r="Z175" s="3"/>
      <c r="AA175" s="3"/>
      <c r="AB175" s="3"/>
      <c r="AC175" s="3"/>
      <c r="AD175" s="3"/>
      <c r="AE175" s="3"/>
      <c r="AF175" s="3"/>
      <c r="AG175" s="3"/>
      <c r="AH175" s="3"/>
      <c r="AI175" s="3"/>
      <c r="AJ175" s="3"/>
    </row>
    <row r="176" spans="1:36">
      <c r="A176" s="3"/>
      <c r="B176" s="3"/>
      <c r="C176" s="3"/>
      <c r="D176" s="1"/>
      <c r="E176" s="1"/>
      <c r="F176" s="3"/>
      <c r="G176" s="3"/>
      <c r="H176" s="3"/>
      <c r="I176" s="3"/>
      <c r="J176" s="3"/>
      <c r="K176" s="3"/>
      <c r="L176" s="3"/>
      <c r="M176" s="3"/>
      <c r="N176" s="3"/>
      <c r="O176" s="3"/>
      <c r="Q176" s="3"/>
      <c r="R176" s="3"/>
      <c r="S176" s="3"/>
      <c r="T176" s="3"/>
      <c r="U176" s="1"/>
      <c r="V176" s="3"/>
      <c r="W176" s="3"/>
      <c r="X176" s="3"/>
      <c r="Y176" s="3"/>
      <c r="Z176" s="3"/>
      <c r="AA176" s="3"/>
      <c r="AB176" s="3"/>
      <c r="AC176" s="3"/>
      <c r="AD176" s="3"/>
      <c r="AE176" s="3"/>
      <c r="AF176" s="3"/>
      <c r="AG176" s="3"/>
      <c r="AH176" s="3"/>
      <c r="AI176" s="3"/>
      <c r="AJ176" s="3"/>
    </row>
    <row r="177" spans="1:36">
      <c r="A177" s="3"/>
      <c r="B177" s="3"/>
      <c r="C177" s="3"/>
      <c r="D177" s="1"/>
      <c r="E177" s="1"/>
      <c r="F177" s="3"/>
      <c r="G177" s="3"/>
      <c r="H177" s="3"/>
      <c r="I177" s="3"/>
      <c r="J177" s="3"/>
      <c r="K177" s="3"/>
      <c r="L177" s="3"/>
      <c r="M177" s="3"/>
      <c r="N177" s="3"/>
      <c r="O177" s="3"/>
      <c r="Q177" s="3"/>
      <c r="R177" s="3"/>
      <c r="S177" s="3"/>
      <c r="T177" s="3"/>
      <c r="U177" s="1"/>
      <c r="V177" s="3"/>
      <c r="W177" s="3"/>
      <c r="X177" s="3"/>
      <c r="Y177" s="3"/>
      <c r="Z177" s="3"/>
      <c r="AA177" s="3"/>
      <c r="AB177" s="3"/>
      <c r="AC177" s="3"/>
      <c r="AD177" s="3"/>
      <c r="AE177" s="3"/>
      <c r="AF177" s="3"/>
      <c r="AG177" s="3"/>
      <c r="AH177" s="3"/>
      <c r="AI177" s="3"/>
      <c r="AJ177" s="3"/>
    </row>
    <row r="178" spans="1:36">
      <c r="A178" s="3"/>
      <c r="B178" s="3"/>
      <c r="C178" s="3"/>
      <c r="D178" s="1"/>
      <c r="E178" s="1"/>
      <c r="F178" s="3"/>
      <c r="G178" s="3"/>
      <c r="H178" s="3"/>
      <c r="I178" s="3"/>
      <c r="J178" s="3"/>
      <c r="K178" s="3"/>
      <c r="L178" s="3"/>
      <c r="M178" s="3"/>
      <c r="N178" s="3"/>
      <c r="O178" s="3"/>
      <c r="Q178" s="3"/>
      <c r="R178" s="3"/>
      <c r="S178" s="3"/>
      <c r="T178" s="3"/>
      <c r="U178" s="1"/>
      <c r="V178" s="3"/>
      <c r="W178" s="3"/>
      <c r="X178" s="3"/>
      <c r="Y178" s="3"/>
      <c r="Z178" s="3"/>
      <c r="AA178" s="3"/>
      <c r="AB178" s="3"/>
      <c r="AC178" s="3"/>
      <c r="AD178" s="3"/>
      <c r="AE178" s="3"/>
      <c r="AF178" s="3"/>
      <c r="AG178" s="3"/>
      <c r="AH178" s="3"/>
      <c r="AI178" s="3"/>
      <c r="AJ178" s="3"/>
    </row>
    <row r="179" spans="1:36">
      <c r="A179" s="3"/>
      <c r="B179" s="3"/>
      <c r="C179" s="3"/>
      <c r="D179" s="1"/>
      <c r="E179" s="1"/>
      <c r="F179" s="3"/>
      <c r="G179" s="3"/>
      <c r="H179" s="3"/>
      <c r="I179" s="3"/>
      <c r="J179" s="3"/>
      <c r="K179" s="3"/>
      <c r="L179" s="3"/>
      <c r="M179" s="3"/>
      <c r="N179" s="3"/>
      <c r="O179" s="3"/>
      <c r="Q179" s="3"/>
      <c r="R179" s="3"/>
      <c r="S179" s="3"/>
      <c r="T179" s="3"/>
      <c r="U179" s="1"/>
      <c r="V179" s="3"/>
      <c r="W179" s="3"/>
      <c r="X179" s="3"/>
      <c r="Y179" s="3"/>
      <c r="Z179" s="3"/>
      <c r="AA179" s="3"/>
      <c r="AB179" s="3"/>
      <c r="AC179" s="3"/>
      <c r="AD179" s="3"/>
      <c r="AE179" s="3"/>
      <c r="AF179" s="3"/>
      <c r="AG179" s="3"/>
      <c r="AH179" s="3"/>
      <c r="AI179" s="3"/>
      <c r="AJ179" s="3"/>
    </row>
    <row r="180" spans="1:36">
      <c r="A180" s="3"/>
      <c r="B180" s="3"/>
      <c r="C180" s="3"/>
      <c r="D180" s="1"/>
      <c r="E180" s="1"/>
      <c r="F180" s="3"/>
      <c r="G180" s="3"/>
      <c r="H180" s="3"/>
      <c r="I180" s="3"/>
      <c r="J180" s="3"/>
      <c r="K180" s="3"/>
      <c r="L180" s="3"/>
      <c r="M180" s="3"/>
      <c r="N180" s="3"/>
      <c r="O180" s="3"/>
      <c r="Q180" s="3"/>
      <c r="R180" s="3"/>
      <c r="S180" s="3"/>
      <c r="T180" s="3"/>
      <c r="U180" s="1"/>
      <c r="V180" s="3"/>
      <c r="W180" s="3"/>
      <c r="X180" s="3"/>
      <c r="Y180" s="3"/>
      <c r="Z180" s="3"/>
      <c r="AA180" s="3"/>
      <c r="AB180" s="3"/>
      <c r="AC180" s="3"/>
      <c r="AD180" s="3"/>
      <c r="AE180" s="3"/>
      <c r="AF180" s="3"/>
      <c r="AG180" s="3"/>
      <c r="AH180" s="3"/>
      <c r="AI180" s="3"/>
      <c r="AJ180" s="3"/>
    </row>
    <row r="181" spans="1:36">
      <c r="A181" s="3"/>
      <c r="B181" s="3"/>
      <c r="C181" s="3"/>
      <c r="D181" s="1"/>
      <c r="E181" s="1"/>
      <c r="F181" s="3"/>
      <c r="G181" s="3"/>
      <c r="H181" s="3"/>
      <c r="I181" s="3"/>
      <c r="J181" s="3"/>
      <c r="K181" s="3"/>
      <c r="L181" s="3"/>
      <c r="M181" s="3"/>
      <c r="N181" s="3"/>
      <c r="O181" s="3"/>
      <c r="Q181" s="3"/>
      <c r="R181" s="3"/>
      <c r="S181" s="3"/>
      <c r="T181" s="3"/>
      <c r="U181" s="1"/>
      <c r="V181" s="3"/>
      <c r="W181" s="3"/>
      <c r="X181" s="3"/>
      <c r="Y181" s="3"/>
      <c r="Z181" s="3"/>
      <c r="AA181" s="3"/>
      <c r="AB181" s="3"/>
      <c r="AC181" s="3"/>
      <c r="AD181" s="3"/>
      <c r="AE181" s="3"/>
      <c r="AF181" s="3"/>
      <c r="AG181" s="3"/>
      <c r="AH181" s="3"/>
      <c r="AI181" s="3"/>
      <c r="AJ181" s="3"/>
    </row>
    <row r="182" spans="1:36">
      <c r="A182" s="3"/>
      <c r="B182" s="3"/>
      <c r="C182" s="3"/>
      <c r="D182" s="1"/>
      <c r="E182" s="1"/>
      <c r="F182" s="3"/>
      <c r="G182" s="3"/>
      <c r="H182" s="3"/>
      <c r="I182" s="3"/>
      <c r="J182" s="3"/>
      <c r="K182" s="3"/>
      <c r="L182" s="3"/>
      <c r="M182" s="3"/>
      <c r="N182" s="3"/>
      <c r="O182" s="3"/>
      <c r="Q182" s="3"/>
      <c r="R182" s="3"/>
      <c r="S182" s="3"/>
      <c r="T182" s="3"/>
      <c r="U182" s="1"/>
      <c r="V182" s="3"/>
      <c r="W182" s="3"/>
      <c r="X182" s="3"/>
      <c r="Y182" s="3"/>
      <c r="Z182" s="3"/>
      <c r="AA182" s="3"/>
      <c r="AB182" s="3"/>
      <c r="AC182" s="3"/>
      <c r="AD182" s="3"/>
      <c r="AE182" s="3"/>
      <c r="AF182" s="3"/>
      <c r="AG182" s="3"/>
      <c r="AH182" s="3"/>
      <c r="AI182" s="3"/>
      <c r="AJ182" s="3"/>
    </row>
    <row r="183" spans="1:36">
      <c r="A183" s="3"/>
      <c r="B183" s="3"/>
      <c r="C183" s="3"/>
      <c r="D183" s="1"/>
      <c r="E183" s="1"/>
      <c r="F183" s="3"/>
      <c r="G183" s="3"/>
      <c r="H183" s="3"/>
      <c r="I183" s="3"/>
      <c r="J183" s="3"/>
      <c r="K183" s="3"/>
      <c r="L183" s="3"/>
      <c r="M183" s="3"/>
      <c r="N183" s="3"/>
      <c r="O183" s="3"/>
      <c r="Q183" s="3"/>
      <c r="R183" s="3"/>
      <c r="S183" s="3"/>
      <c r="T183" s="3"/>
      <c r="U183" s="1"/>
      <c r="V183" s="3"/>
      <c r="W183" s="3"/>
      <c r="X183" s="3"/>
      <c r="Y183" s="3"/>
      <c r="Z183" s="3"/>
      <c r="AA183" s="3"/>
      <c r="AB183" s="3"/>
      <c r="AC183" s="3"/>
      <c r="AD183" s="3"/>
      <c r="AE183" s="3"/>
      <c r="AF183" s="3"/>
      <c r="AG183" s="3"/>
      <c r="AH183" s="3"/>
      <c r="AI183" s="3"/>
      <c r="AJ183" s="3"/>
    </row>
    <row r="184" spans="1:36">
      <c r="A184" s="3"/>
      <c r="B184" s="3"/>
      <c r="C184" s="3"/>
      <c r="D184" s="1"/>
      <c r="E184" s="1"/>
      <c r="F184" s="3"/>
      <c r="G184" s="3"/>
      <c r="H184" s="3"/>
      <c r="I184" s="3"/>
      <c r="J184" s="3"/>
      <c r="K184" s="3"/>
      <c r="L184" s="3"/>
      <c r="M184" s="3"/>
      <c r="N184" s="3"/>
      <c r="O184" s="3"/>
      <c r="Q184" s="3"/>
      <c r="R184" s="3"/>
      <c r="S184" s="3"/>
      <c r="T184" s="3"/>
      <c r="U184" s="1"/>
      <c r="V184" s="3"/>
      <c r="W184" s="3"/>
      <c r="X184" s="3"/>
      <c r="Y184" s="3"/>
      <c r="Z184" s="3"/>
      <c r="AA184" s="3"/>
      <c r="AB184" s="3"/>
      <c r="AC184" s="3"/>
      <c r="AD184" s="3"/>
      <c r="AE184" s="3"/>
      <c r="AF184" s="3"/>
      <c r="AG184" s="3"/>
      <c r="AH184" s="3"/>
      <c r="AI184" s="3"/>
      <c r="AJ184" s="3"/>
    </row>
    <row r="185" spans="1:36">
      <c r="A185" s="3"/>
      <c r="B185" s="3"/>
      <c r="C185" s="3"/>
      <c r="D185" s="1"/>
      <c r="E185" s="1"/>
      <c r="F185" s="3"/>
      <c r="G185" s="3"/>
      <c r="H185" s="3"/>
      <c r="I185" s="3"/>
      <c r="J185" s="3"/>
      <c r="K185" s="3"/>
      <c r="L185" s="3"/>
      <c r="M185" s="3"/>
      <c r="N185" s="3"/>
      <c r="O185" s="3"/>
      <c r="Q185" s="3"/>
      <c r="R185" s="3"/>
      <c r="S185" s="3"/>
      <c r="T185" s="3"/>
      <c r="U185" s="1"/>
      <c r="V185" s="3"/>
      <c r="W185" s="3"/>
      <c r="X185" s="3"/>
      <c r="Y185" s="3"/>
      <c r="Z185" s="3"/>
      <c r="AA185" s="3"/>
      <c r="AB185" s="3"/>
      <c r="AC185" s="3"/>
      <c r="AD185" s="3"/>
      <c r="AE185" s="3"/>
      <c r="AF185" s="3"/>
      <c r="AG185" s="3"/>
      <c r="AH185" s="3"/>
      <c r="AI185" s="3"/>
      <c r="AJ185" s="3"/>
    </row>
    <row r="186" spans="1:36">
      <c r="A186" s="3"/>
      <c r="B186" s="3"/>
      <c r="C186" s="3"/>
      <c r="D186" s="1"/>
      <c r="E186" s="1"/>
      <c r="F186" s="3"/>
      <c r="G186" s="3"/>
      <c r="H186" s="3"/>
      <c r="I186" s="3"/>
      <c r="J186" s="3"/>
      <c r="K186" s="3"/>
      <c r="L186" s="3"/>
      <c r="M186" s="3"/>
      <c r="N186" s="3"/>
      <c r="O186" s="3"/>
      <c r="Q186" s="3"/>
      <c r="R186" s="3"/>
      <c r="S186" s="3"/>
      <c r="T186" s="3"/>
      <c r="U186" s="1"/>
      <c r="V186" s="3"/>
      <c r="W186" s="3"/>
      <c r="X186" s="3"/>
      <c r="Y186" s="3"/>
      <c r="Z186" s="3"/>
      <c r="AA186" s="3"/>
      <c r="AB186" s="3"/>
      <c r="AC186" s="3"/>
      <c r="AD186" s="3"/>
      <c r="AE186" s="3"/>
      <c r="AF186" s="3"/>
      <c r="AG186" s="3"/>
      <c r="AH186" s="3"/>
      <c r="AI186" s="3"/>
      <c r="AJ186" s="3"/>
    </row>
    <row r="187" spans="1:36">
      <c r="A187" s="3"/>
      <c r="B187" s="3"/>
      <c r="C187" s="3"/>
      <c r="D187" s="1"/>
      <c r="E187" s="1"/>
      <c r="F187" s="3"/>
      <c r="G187" s="3"/>
      <c r="H187" s="3"/>
      <c r="I187" s="3"/>
      <c r="J187" s="3"/>
      <c r="K187" s="3"/>
      <c r="L187" s="3"/>
      <c r="M187" s="3"/>
      <c r="N187" s="3"/>
      <c r="O187" s="3"/>
      <c r="Q187" s="3"/>
      <c r="R187" s="3"/>
      <c r="S187" s="3"/>
      <c r="T187" s="3"/>
      <c r="U187" s="1"/>
      <c r="V187" s="3"/>
      <c r="W187" s="3"/>
      <c r="X187" s="3"/>
      <c r="Y187" s="3"/>
      <c r="Z187" s="3"/>
      <c r="AA187" s="3"/>
      <c r="AB187" s="3"/>
      <c r="AC187" s="3"/>
      <c r="AD187" s="3"/>
      <c r="AE187" s="3"/>
      <c r="AF187" s="3"/>
      <c r="AG187" s="3"/>
      <c r="AH187" s="3"/>
      <c r="AI187" s="3"/>
      <c r="AJ187" s="3"/>
    </row>
    <row r="188" spans="1:36">
      <c r="A188" s="3"/>
      <c r="B188" s="3"/>
      <c r="C188" s="3"/>
      <c r="D188" s="1"/>
      <c r="E188" s="1"/>
      <c r="F188" s="3"/>
      <c r="G188" s="3"/>
      <c r="H188" s="3"/>
      <c r="I188" s="3"/>
      <c r="J188" s="3"/>
      <c r="K188" s="3"/>
      <c r="L188" s="3"/>
      <c r="M188" s="3"/>
      <c r="N188" s="3"/>
      <c r="O188" s="3"/>
      <c r="Q188" s="3"/>
      <c r="R188" s="3"/>
      <c r="S188" s="3"/>
      <c r="T188" s="3"/>
      <c r="U188" s="1"/>
      <c r="V188" s="3"/>
      <c r="W188" s="3"/>
      <c r="X188" s="3"/>
      <c r="Y188" s="3"/>
      <c r="Z188" s="3"/>
      <c r="AA188" s="3"/>
      <c r="AB188" s="3"/>
      <c r="AC188" s="3"/>
      <c r="AD188" s="3"/>
      <c r="AE188" s="3"/>
      <c r="AF188" s="3"/>
      <c r="AG188" s="3"/>
      <c r="AH188" s="3"/>
      <c r="AI188" s="3"/>
      <c r="AJ188" s="3"/>
    </row>
    <row r="189" spans="1:36">
      <c r="A189" s="3"/>
      <c r="B189" s="3"/>
      <c r="C189" s="3"/>
      <c r="D189" s="1"/>
      <c r="E189" s="1"/>
      <c r="F189" s="3"/>
      <c r="G189" s="3"/>
      <c r="H189" s="3"/>
      <c r="I189" s="3"/>
      <c r="J189" s="3"/>
      <c r="K189" s="3"/>
      <c r="L189" s="3"/>
      <c r="M189" s="3"/>
      <c r="N189" s="3"/>
      <c r="O189" s="3"/>
      <c r="Q189" s="3"/>
      <c r="R189" s="3"/>
      <c r="S189" s="3"/>
      <c r="T189" s="3"/>
      <c r="U189" s="1"/>
      <c r="V189" s="3"/>
      <c r="W189" s="3"/>
      <c r="X189" s="3"/>
      <c r="Y189" s="3"/>
      <c r="Z189" s="3"/>
      <c r="AA189" s="3"/>
      <c r="AB189" s="3"/>
      <c r="AC189" s="3"/>
      <c r="AD189" s="3"/>
      <c r="AE189" s="3"/>
      <c r="AF189" s="3"/>
      <c r="AG189" s="3"/>
      <c r="AH189" s="3"/>
      <c r="AI189" s="3"/>
      <c r="AJ189" s="3"/>
    </row>
    <row r="190" spans="1:36">
      <c r="A190" s="3"/>
      <c r="B190" s="3"/>
      <c r="C190" s="3"/>
      <c r="D190" s="1"/>
      <c r="E190" s="1"/>
      <c r="F190" s="3"/>
      <c r="G190" s="3"/>
      <c r="H190" s="3"/>
      <c r="I190" s="3"/>
      <c r="J190" s="3"/>
      <c r="K190" s="3"/>
      <c r="L190" s="3"/>
      <c r="M190" s="3"/>
      <c r="N190" s="3"/>
      <c r="O190" s="3"/>
      <c r="Q190" s="3"/>
      <c r="R190" s="3"/>
      <c r="S190" s="3"/>
      <c r="T190" s="3"/>
      <c r="U190" s="1"/>
      <c r="V190" s="3"/>
      <c r="W190" s="3"/>
      <c r="X190" s="3"/>
      <c r="Y190" s="3"/>
      <c r="Z190" s="3"/>
      <c r="AA190" s="3"/>
      <c r="AB190" s="3"/>
      <c r="AC190" s="3"/>
      <c r="AD190" s="3"/>
      <c r="AE190" s="3"/>
      <c r="AF190" s="3"/>
      <c r="AG190" s="3"/>
      <c r="AH190" s="3"/>
      <c r="AI190" s="3"/>
      <c r="AJ190" s="3"/>
    </row>
    <row r="191" spans="1:36">
      <c r="A191" s="3"/>
      <c r="B191" s="3"/>
      <c r="C191" s="3"/>
      <c r="D191" s="1"/>
      <c r="E191" s="1"/>
      <c r="F191" s="3"/>
      <c r="G191" s="3"/>
      <c r="H191" s="3"/>
      <c r="I191" s="3"/>
      <c r="J191" s="3"/>
      <c r="K191" s="3"/>
      <c r="L191" s="3"/>
      <c r="M191" s="3"/>
      <c r="N191" s="3"/>
      <c r="O191" s="3"/>
      <c r="Q191" s="3"/>
      <c r="R191" s="3"/>
      <c r="S191" s="3"/>
      <c r="T191" s="3"/>
      <c r="U191" s="1"/>
      <c r="V191" s="3"/>
      <c r="W191" s="3"/>
      <c r="X191" s="3"/>
      <c r="Y191" s="3"/>
      <c r="Z191" s="3"/>
      <c r="AA191" s="3"/>
      <c r="AB191" s="3"/>
      <c r="AC191" s="3"/>
      <c r="AD191" s="3"/>
      <c r="AE191" s="3"/>
      <c r="AF191" s="3"/>
      <c r="AG191" s="3"/>
      <c r="AH191" s="3"/>
      <c r="AI191" s="3"/>
      <c r="AJ191" s="3"/>
    </row>
    <row r="192" spans="1:36">
      <c r="A192" s="3"/>
      <c r="B192" s="3"/>
      <c r="C192" s="3"/>
      <c r="D192" s="1"/>
      <c r="E192" s="1"/>
      <c r="F192" s="3"/>
      <c r="G192" s="3"/>
      <c r="H192" s="3"/>
      <c r="I192" s="3"/>
      <c r="J192" s="3"/>
      <c r="K192" s="3"/>
      <c r="L192" s="3"/>
      <c r="M192" s="3"/>
      <c r="N192" s="3"/>
      <c r="O192" s="3"/>
      <c r="Q192" s="3"/>
      <c r="R192" s="3"/>
      <c r="S192" s="3"/>
      <c r="T192" s="3"/>
      <c r="U192" s="1"/>
      <c r="V192" s="3"/>
      <c r="W192" s="3"/>
      <c r="X192" s="3"/>
      <c r="Y192" s="3"/>
      <c r="Z192" s="3"/>
      <c r="AA192" s="3"/>
      <c r="AB192" s="3"/>
      <c r="AC192" s="3"/>
      <c r="AD192" s="3"/>
      <c r="AE192" s="3"/>
      <c r="AF192" s="3"/>
      <c r="AG192" s="3"/>
      <c r="AH192" s="3"/>
      <c r="AI192" s="3"/>
      <c r="AJ192" s="3"/>
    </row>
    <row r="193" spans="1:36">
      <c r="A193" s="3"/>
      <c r="B193" s="3"/>
      <c r="C193" s="3"/>
      <c r="D193" s="1"/>
      <c r="E193" s="1"/>
      <c r="F193" s="3"/>
      <c r="G193" s="3"/>
      <c r="H193" s="3"/>
      <c r="I193" s="3"/>
      <c r="J193" s="3"/>
      <c r="K193" s="3"/>
      <c r="L193" s="3"/>
      <c r="M193" s="3"/>
      <c r="N193" s="3"/>
      <c r="O193" s="3"/>
      <c r="Q193" s="3"/>
      <c r="R193" s="3"/>
      <c r="S193" s="3"/>
      <c r="T193" s="3"/>
      <c r="U193" s="1"/>
      <c r="V193" s="3"/>
      <c r="W193" s="3"/>
      <c r="X193" s="3"/>
      <c r="Y193" s="3"/>
      <c r="Z193" s="3"/>
      <c r="AA193" s="3"/>
      <c r="AB193" s="3"/>
      <c r="AC193" s="3"/>
      <c r="AD193" s="3"/>
      <c r="AE193" s="3"/>
      <c r="AF193" s="3"/>
      <c r="AG193" s="3"/>
      <c r="AH193" s="3"/>
      <c r="AI193" s="3"/>
      <c r="AJ193" s="3"/>
    </row>
    <row r="194" spans="1:36">
      <c r="A194" s="3"/>
      <c r="B194" s="3"/>
      <c r="C194" s="3"/>
      <c r="D194" s="1"/>
      <c r="E194" s="1"/>
      <c r="F194" s="3"/>
      <c r="G194" s="3"/>
      <c r="H194" s="3"/>
      <c r="I194" s="3"/>
      <c r="J194" s="3"/>
      <c r="K194" s="3"/>
      <c r="L194" s="3"/>
      <c r="M194" s="3"/>
      <c r="N194" s="3"/>
      <c r="O194" s="3"/>
      <c r="Q194" s="3"/>
      <c r="R194" s="3"/>
      <c r="S194" s="3"/>
      <c r="T194" s="3"/>
      <c r="U194" s="1"/>
      <c r="V194" s="3"/>
      <c r="W194" s="3"/>
      <c r="X194" s="3"/>
      <c r="Y194" s="3"/>
      <c r="Z194" s="3"/>
      <c r="AA194" s="3"/>
      <c r="AB194" s="3"/>
      <c r="AC194" s="3"/>
      <c r="AD194" s="3"/>
      <c r="AE194" s="3"/>
      <c r="AF194" s="3"/>
      <c r="AG194" s="3"/>
      <c r="AH194" s="3"/>
      <c r="AI194" s="3"/>
      <c r="AJ194" s="3"/>
    </row>
    <row r="195" spans="1:36">
      <c r="A195" s="3"/>
      <c r="B195" s="3"/>
      <c r="C195" s="3"/>
      <c r="D195" s="1"/>
      <c r="E195" s="1"/>
      <c r="F195" s="3"/>
      <c r="G195" s="3"/>
      <c r="H195" s="3"/>
      <c r="I195" s="3"/>
      <c r="J195" s="3"/>
      <c r="K195" s="3"/>
      <c r="L195" s="3"/>
      <c r="M195" s="3"/>
      <c r="N195" s="3"/>
      <c r="O195" s="3"/>
      <c r="Q195" s="3"/>
      <c r="R195" s="3"/>
      <c r="S195" s="3"/>
      <c r="T195" s="3"/>
      <c r="U195" s="1"/>
      <c r="V195" s="3"/>
      <c r="W195" s="3"/>
      <c r="X195" s="3"/>
      <c r="Y195" s="3"/>
      <c r="Z195" s="3"/>
      <c r="AA195" s="3"/>
      <c r="AB195" s="3"/>
      <c r="AC195" s="3"/>
      <c r="AD195" s="3"/>
      <c r="AE195" s="3"/>
      <c r="AF195" s="3"/>
      <c r="AG195" s="3"/>
      <c r="AH195" s="3"/>
      <c r="AI195" s="3"/>
      <c r="AJ195" s="3"/>
    </row>
    <row r="196" spans="1:36">
      <c r="A196" s="3"/>
      <c r="B196" s="3"/>
      <c r="C196" s="3"/>
      <c r="D196" s="1"/>
      <c r="E196" s="1"/>
      <c r="F196" s="3"/>
      <c r="G196" s="3"/>
      <c r="H196" s="3"/>
      <c r="I196" s="3"/>
      <c r="J196" s="3"/>
      <c r="K196" s="3"/>
      <c r="L196" s="3"/>
      <c r="M196" s="3"/>
      <c r="N196" s="3"/>
      <c r="O196" s="3"/>
      <c r="Q196" s="3"/>
      <c r="R196" s="3"/>
      <c r="S196" s="3"/>
      <c r="T196" s="3"/>
      <c r="U196" s="1"/>
      <c r="V196" s="3"/>
      <c r="W196" s="3"/>
      <c r="X196" s="3"/>
      <c r="Y196" s="3"/>
      <c r="Z196" s="3"/>
      <c r="AA196" s="3"/>
      <c r="AB196" s="3"/>
      <c r="AC196" s="3"/>
      <c r="AD196" s="3"/>
      <c r="AE196" s="3"/>
      <c r="AF196" s="3"/>
      <c r="AG196" s="3"/>
      <c r="AH196" s="3"/>
      <c r="AI196" s="3"/>
      <c r="AJ196" s="3"/>
    </row>
    <row r="197" spans="1:36">
      <c r="A197" s="3"/>
      <c r="B197" s="3"/>
      <c r="C197" s="3"/>
      <c r="D197" s="1"/>
      <c r="E197" s="1"/>
      <c r="F197" s="3"/>
      <c r="G197" s="3"/>
      <c r="H197" s="3"/>
      <c r="I197" s="3"/>
      <c r="J197" s="3"/>
      <c r="K197" s="3"/>
      <c r="L197" s="3"/>
      <c r="M197" s="3"/>
      <c r="N197" s="3"/>
      <c r="O197" s="3"/>
      <c r="Q197" s="3"/>
      <c r="R197" s="3"/>
      <c r="S197" s="3"/>
      <c r="T197" s="3"/>
      <c r="U197" s="1"/>
      <c r="V197" s="3"/>
      <c r="W197" s="3"/>
      <c r="X197" s="3"/>
      <c r="Y197" s="3"/>
      <c r="Z197" s="3"/>
      <c r="AA197" s="3"/>
      <c r="AB197" s="3"/>
      <c r="AC197" s="3"/>
      <c r="AD197" s="3"/>
      <c r="AE197" s="3"/>
      <c r="AF197" s="3"/>
      <c r="AG197" s="3"/>
      <c r="AH197" s="3"/>
      <c r="AI197" s="3"/>
      <c r="AJ197" s="3"/>
    </row>
    <row r="198" spans="1:36">
      <c r="A198" s="3"/>
      <c r="B198" s="3"/>
      <c r="C198" s="3"/>
      <c r="D198" s="1"/>
      <c r="E198" s="1"/>
      <c r="F198" s="3"/>
      <c r="G198" s="3"/>
      <c r="H198" s="3"/>
      <c r="I198" s="3"/>
      <c r="J198" s="3"/>
      <c r="K198" s="3"/>
      <c r="L198" s="3"/>
      <c r="M198" s="3"/>
      <c r="N198" s="3"/>
      <c r="O198" s="3"/>
      <c r="Q198" s="3"/>
      <c r="R198" s="3"/>
      <c r="S198" s="3"/>
      <c r="T198" s="3"/>
      <c r="U198" s="1"/>
      <c r="V198" s="3"/>
      <c r="W198" s="3"/>
      <c r="X198" s="3"/>
      <c r="Y198" s="3"/>
      <c r="Z198" s="3"/>
      <c r="AA198" s="3"/>
      <c r="AB198" s="3"/>
      <c r="AC198" s="3"/>
      <c r="AD198" s="3"/>
      <c r="AE198" s="3"/>
      <c r="AF198" s="3"/>
      <c r="AG198" s="3"/>
      <c r="AH198" s="3"/>
      <c r="AI198" s="3"/>
      <c r="AJ198" s="3"/>
    </row>
    <row r="199" spans="1:36">
      <c r="A199" s="3"/>
      <c r="B199" s="3"/>
      <c r="C199" s="3"/>
      <c r="D199" s="1"/>
      <c r="E199" s="1"/>
      <c r="F199" s="3"/>
      <c r="G199" s="3"/>
      <c r="H199" s="3"/>
      <c r="I199" s="3"/>
      <c r="J199" s="3"/>
      <c r="K199" s="3"/>
      <c r="L199" s="3"/>
      <c r="M199" s="3"/>
      <c r="N199" s="3"/>
      <c r="O199" s="3"/>
      <c r="Q199" s="3"/>
      <c r="R199" s="3"/>
      <c r="S199" s="3"/>
      <c r="T199" s="3"/>
      <c r="U199" s="1"/>
      <c r="V199" s="3"/>
      <c r="W199" s="3"/>
      <c r="X199" s="3"/>
      <c r="Y199" s="3"/>
      <c r="Z199" s="3"/>
      <c r="AA199" s="3"/>
      <c r="AB199" s="3"/>
      <c r="AC199" s="3"/>
      <c r="AD199" s="3"/>
      <c r="AE199" s="3"/>
      <c r="AF199" s="3"/>
      <c r="AG199" s="3"/>
      <c r="AH199" s="3"/>
      <c r="AI199" s="3"/>
      <c r="AJ199" s="3"/>
    </row>
    <row r="200" spans="1:36">
      <c r="A200" s="3"/>
      <c r="B200" s="3"/>
      <c r="C200" s="3"/>
      <c r="D200" s="1"/>
      <c r="E200" s="1"/>
      <c r="F200" s="3"/>
      <c r="G200" s="3"/>
      <c r="H200" s="3"/>
      <c r="I200" s="3"/>
      <c r="J200" s="3"/>
      <c r="K200" s="3"/>
      <c r="L200" s="3"/>
      <c r="M200" s="3"/>
      <c r="N200" s="3"/>
      <c r="O200" s="3"/>
      <c r="Q200" s="3"/>
      <c r="R200" s="3"/>
      <c r="S200" s="3"/>
      <c r="T200" s="3"/>
      <c r="U200" s="1"/>
      <c r="V200" s="3"/>
      <c r="W200" s="3"/>
      <c r="X200" s="3"/>
      <c r="Y200" s="3"/>
      <c r="Z200" s="3"/>
      <c r="AA200" s="3"/>
      <c r="AB200" s="3"/>
      <c r="AC200" s="3"/>
      <c r="AD200" s="3"/>
      <c r="AE200" s="3"/>
      <c r="AF200" s="3"/>
      <c r="AG200" s="3"/>
      <c r="AH200" s="3"/>
      <c r="AI200" s="3"/>
      <c r="AJ200" s="3"/>
    </row>
    <row r="201" spans="1:36">
      <c r="A201" s="3"/>
      <c r="B201" s="3"/>
      <c r="C201" s="3"/>
      <c r="D201" s="1"/>
      <c r="E201" s="1"/>
      <c r="F201" s="3"/>
      <c r="G201" s="3"/>
      <c r="H201" s="3"/>
      <c r="I201" s="3"/>
      <c r="J201" s="3"/>
      <c r="K201" s="3"/>
      <c r="L201" s="3"/>
      <c r="M201" s="3"/>
      <c r="N201" s="3"/>
      <c r="O201" s="3"/>
      <c r="Q201" s="3"/>
      <c r="R201" s="3"/>
      <c r="S201" s="3"/>
      <c r="T201" s="3"/>
      <c r="U201" s="1"/>
      <c r="V201" s="3"/>
      <c r="W201" s="3"/>
      <c r="X201" s="3"/>
      <c r="Y201" s="3"/>
      <c r="Z201" s="3"/>
      <c r="AA201" s="3"/>
      <c r="AB201" s="3"/>
      <c r="AC201" s="3"/>
      <c r="AD201" s="3"/>
      <c r="AE201" s="3"/>
      <c r="AF201" s="3"/>
      <c r="AG201" s="3"/>
      <c r="AH201" s="3"/>
      <c r="AI201" s="3"/>
      <c r="AJ201" s="3"/>
    </row>
    <row r="202" spans="1:36">
      <c r="A202" s="3"/>
      <c r="B202" s="3"/>
      <c r="C202" s="3"/>
      <c r="D202" s="1"/>
      <c r="E202" s="1"/>
      <c r="F202" s="3"/>
      <c r="G202" s="3"/>
      <c r="H202" s="3"/>
      <c r="I202" s="3"/>
      <c r="J202" s="3"/>
      <c r="K202" s="3"/>
      <c r="L202" s="3"/>
      <c r="M202" s="3"/>
      <c r="N202" s="3"/>
      <c r="O202" s="3"/>
      <c r="Q202" s="3"/>
      <c r="R202" s="3"/>
      <c r="S202" s="3"/>
      <c r="T202" s="3"/>
      <c r="U202" s="1"/>
      <c r="V202" s="3"/>
      <c r="W202" s="3"/>
      <c r="X202" s="3"/>
      <c r="Y202" s="3"/>
      <c r="Z202" s="3"/>
      <c r="AA202" s="3"/>
      <c r="AB202" s="3"/>
      <c r="AC202" s="3"/>
      <c r="AD202" s="3"/>
      <c r="AE202" s="3"/>
      <c r="AF202" s="3"/>
      <c r="AG202" s="3"/>
      <c r="AH202" s="3"/>
      <c r="AI202" s="3"/>
      <c r="AJ202" s="3"/>
    </row>
    <row r="203" spans="1:36">
      <c r="A203" s="3"/>
      <c r="B203" s="3"/>
      <c r="C203" s="3"/>
      <c r="D203" s="1"/>
      <c r="E203" s="1"/>
      <c r="F203" s="3"/>
      <c r="G203" s="3"/>
      <c r="H203" s="3"/>
      <c r="I203" s="3"/>
      <c r="J203" s="3"/>
      <c r="K203" s="3"/>
      <c r="L203" s="3"/>
      <c r="M203" s="3"/>
      <c r="N203" s="3"/>
      <c r="O203" s="3"/>
      <c r="Q203" s="3"/>
      <c r="R203" s="3"/>
      <c r="S203" s="3"/>
      <c r="T203" s="3"/>
      <c r="U203" s="1"/>
      <c r="V203" s="3"/>
      <c r="W203" s="3"/>
      <c r="X203" s="3"/>
      <c r="Y203" s="3"/>
      <c r="Z203" s="3"/>
      <c r="AA203" s="3"/>
      <c r="AB203" s="3"/>
      <c r="AC203" s="3"/>
      <c r="AD203" s="3"/>
      <c r="AE203" s="3"/>
      <c r="AF203" s="3"/>
      <c r="AG203" s="3"/>
      <c r="AH203" s="3"/>
      <c r="AI203" s="3"/>
      <c r="AJ203" s="3"/>
    </row>
    <row r="204" spans="1:36">
      <c r="A204" s="3"/>
      <c r="B204" s="3"/>
      <c r="C204" s="3"/>
      <c r="D204" s="1"/>
      <c r="E204" s="1"/>
      <c r="F204" s="3"/>
      <c r="G204" s="3"/>
      <c r="H204" s="3"/>
      <c r="I204" s="3"/>
      <c r="J204" s="3"/>
      <c r="K204" s="3"/>
      <c r="L204" s="3"/>
      <c r="M204" s="3"/>
      <c r="N204" s="3"/>
      <c r="O204" s="3"/>
      <c r="Q204" s="3"/>
      <c r="R204" s="3"/>
      <c r="S204" s="3"/>
      <c r="T204" s="3"/>
      <c r="U204" s="1"/>
      <c r="V204" s="3"/>
      <c r="W204" s="3"/>
      <c r="X204" s="3"/>
      <c r="Y204" s="3"/>
      <c r="Z204" s="3"/>
      <c r="AA204" s="3"/>
      <c r="AB204" s="3"/>
      <c r="AC204" s="3"/>
      <c r="AD204" s="3"/>
      <c r="AE204" s="3"/>
      <c r="AF204" s="3"/>
      <c r="AG204" s="3"/>
      <c r="AH204" s="3"/>
      <c r="AI204" s="3"/>
      <c r="AJ204" s="3"/>
    </row>
    <row r="205" spans="1:36">
      <c r="A205" s="3"/>
      <c r="B205" s="3"/>
      <c r="C205" s="3"/>
      <c r="D205" s="1"/>
      <c r="E205" s="1"/>
      <c r="F205" s="3"/>
      <c r="G205" s="3"/>
      <c r="H205" s="3"/>
      <c r="I205" s="3"/>
      <c r="J205" s="3"/>
      <c r="K205" s="3"/>
      <c r="L205" s="3"/>
      <c r="M205" s="3"/>
      <c r="N205" s="3"/>
      <c r="O205" s="3"/>
      <c r="Q205" s="3"/>
      <c r="R205" s="3"/>
      <c r="S205" s="3"/>
      <c r="T205" s="3"/>
      <c r="U205" s="1"/>
      <c r="V205" s="3"/>
      <c r="W205" s="3"/>
      <c r="X205" s="3"/>
      <c r="Y205" s="3"/>
      <c r="Z205" s="3"/>
      <c r="AA205" s="3"/>
      <c r="AB205" s="3"/>
      <c r="AC205" s="3"/>
      <c r="AD205" s="3"/>
      <c r="AE205" s="3"/>
      <c r="AF205" s="3"/>
      <c r="AG205" s="3"/>
      <c r="AH205" s="3"/>
      <c r="AI205" s="3"/>
      <c r="AJ205" s="3"/>
    </row>
    <row r="206" spans="1:36">
      <c r="A206" s="3"/>
      <c r="B206" s="3"/>
      <c r="C206" s="3"/>
      <c r="D206" s="1"/>
      <c r="E206" s="1"/>
      <c r="F206" s="3"/>
      <c r="G206" s="3"/>
      <c r="H206" s="3"/>
      <c r="I206" s="3"/>
      <c r="J206" s="3"/>
      <c r="K206" s="3"/>
      <c r="L206" s="3"/>
      <c r="M206" s="3"/>
      <c r="N206" s="3"/>
      <c r="O206" s="3"/>
      <c r="Q206" s="3"/>
      <c r="R206" s="3"/>
      <c r="S206" s="3"/>
      <c r="T206" s="3"/>
      <c r="U206" s="1"/>
      <c r="V206" s="3"/>
      <c r="W206" s="3"/>
      <c r="X206" s="3"/>
      <c r="Y206" s="3"/>
      <c r="Z206" s="3"/>
      <c r="AA206" s="3"/>
      <c r="AB206" s="3"/>
      <c r="AC206" s="3"/>
      <c r="AD206" s="3"/>
      <c r="AE206" s="3"/>
      <c r="AF206" s="3"/>
      <c r="AG206" s="3"/>
      <c r="AH206" s="3"/>
      <c r="AI206" s="3"/>
      <c r="AJ206" s="3"/>
    </row>
    <row r="207" spans="1:36">
      <c r="A207" s="3"/>
      <c r="B207" s="3"/>
      <c r="C207" s="3"/>
      <c r="D207" s="1"/>
      <c r="E207" s="1"/>
      <c r="F207" s="3"/>
      <c r="G207" s="3"/>
      <c r="H207" s="3"/>
      <c r="I207" s="3"/>
      <c r="J207" s="3"/>
      <c r="K207" s="3"/>
      <c r="L207" s="3"/>
      <c r="M207" s="3"/>
      <c r="N207" s="3"/>
      <c r="O207" s="3"/>
      <c r="Q207" s="3"/>
      <c r="R207" s="3"/>
      <c r="S207" s="3"/>
      <c r="T207" s="3"/>
      <c r="U207" s="1"/>
      <c r="V207" s="3"/>
      <c r="W207" s="3"/>
      <c r="X207" s="3"/>
      <c r="Y207" s="3"/>
      <c r="Z207" s="3"/>
      <c r="AA207" s="3"/>
      <c r="AB207" s="3"/>
      <c r="AC207" s="3"/>
      <c r="AD207" s="3"/>
      <c r="AE207" s="3"/>
      <c r="AF207" s="3"/>
      <c r="AG207" s="3"/>
      <c r="AH207" s="3"/>
      <c r="AI207" s="3"/>
      <c r="AJ207" s="3"/>
    </row>
    <row r="208" spans="1:36">
      <c r="A208" s="3"/>
      <c r="B208" s="3"/>
      <c r="C208" s="3"/>
      <c r="D208" s="1"/>
      <c r="E208" s="1"/>
      <c r="F208" s="3"/>
      <c r="G208" s="3"/>
      <c r="H208" s="3"/>
      <c r="I208" s="3"/>
      <c r="J208" s="3"/>
      <c r="K208" s="3"/>
      <c r="L208" s="3"/>
      <c r="M208" s="3"/>
      <c r="N208" s="3"/>
      <c r="O208" s="3"/>
      <c r="Q208" s="3"/>
      <c r="R208" s="3"/>
      <c r="S208" s="3"/>
      <c r="T208" s="3"/>
      <c r="U208" s="1"/>
      <c r="V208" s="3"/>
      <c r="W208" s="3"/>
      <c r="X208" s="3"/>
      <c r="Y208" s="3"/>
      <c r="Z208" s="3"/>
      <c r="AA208" s="3"/>
      <c r="AB208" s="3"/>
      <c r="AC208" s="3"/>
      <c r="AD208" s="3"/>
      <c r="AE208" s="3"/>
      <c r="AF208" s="3"/>
      <c r="AG208" s="3"/>
      <c r="AH208" s="3"/>
      <c r="AI208" s="3"/>
      <c r="AJ208" s="3"/>
    </row>
    <row r="209" spans="1:36">
      <c r="A209" s="3"/>
      <c r="B209" s="3"/>
      <c r="C209" s="3"/>
      <c r="D209" s="1"/>
      <c r="E209" s="1"/>
      <c r="F209" s="3"/>
      <c r="G209" s="3"/>
      <c r="H209" s="3"/>
      <c r="I209" s="3"/>
      <c r="J209" s="3"/>
      <c r="K209" s="3"/>
      <c r="L209" s="3"/>
      <c r="M209" s="3"/>
      <c r="N209" s="3"/>
      <c r="O209" s="3"/>
      <c r="Q209" s="3"/>
      <c r="R209" s="3"/>
      <c r="S209" s="3"/>
      <c r="T209" s="3"/>
      <c r="U209" s="1"/>
      <c r="V209" s="3"/>
      <c r="W209" s="3"/>
      <c r="X209" s="3"/>
      <c r="Y209" s="3"/>
      <c r="Z209" s="3"/>
      <c r="AA209" s="3"/>
      <c r="AB209" s="3"/>
      <c r="AC209" s="3"/>
      <c r="AD209" s="3"/>
      <c r="AE209" s="3"/>
      <c r="AF209" s="3"/>
      <c r="AG209" s="3"/>
      <c r="AH209" s="3"/>
      <c r="AI209" s="3"/>
      <c r="AJ209" s="3"/>
    </row>
    <row r="210" spans="1:36">
      <c r="A210" s="3"/>
      <c r="B210" s="3"/>
      <c r="C210" s="3"/>
      <c r="D210" s="1"/>
      <c r="E210" s="1"/>
      <c r="F210" s="3"/>
      <c r="G210" s="3"/>
      <c r="H210" s="3"/>
      <c r="I210" s="3"/>
      <c r="J210" s="3"/>
      <c r="K210" s="3"/>
      <c r="L210" s="3"/>
      <c r="M210" s="3"/>
      <c r="N210" s="3"/>
      <c r="O210" s="3"/>
      <c r="Q210" s="3"/>
      <c r="R210" s="3"/>
      <c r="S210" s="3"/>
      <c r="T210" s="3"/>
      <c r="U210" s="1"/>
      <c r="V210" s="3"/>
      <c r="W210" s="3"/>
      <c r="X210" s="3"/>
      <c r="Y210" s="3"/>
      <c r="Z210" s="3"/>
      <c r="AA210" s="3"/>
      <c r="AB210" s="3"/>
      <c r="AC210" s="3"/>
      <c r="AD210" s="3"/>
      <c r="AE210" s="3"/>
      <c r="AF210" s="3"/>
      <c r="AG210" s="3"/>
      <c r="AH210" s="3"/>
      <c r="AI210" s="3"/>
      <c r="AJ210" s="3"/>
    </row>
  </sheetData>
  <dataValidations count="1">
    <dataValidation type="list" sqref="G2:G23 G25:G68 G70:H79 G81:G510 H2:H65 H67:H68 H81:H92 H94:I510 I2:I68 I70:I83 I85:I92 L2:L4 L6:L63 L65:L510 O2:O92 O94:O510 P57 P59:P61 Q2:Q73 Q75:Q92 Q94:T510 R2:T92 W2:X92 W94:X510 AE2:AE510 AH2:AH92 AH94:AH510 AI2:AI510" xr:uid="{00000000-0002-0000-0000-000000000000}">
      <formula1>#REF!</formula1>
    </dataValidation>
  </dataValidations>
  <hyperlinks>
    <hyperlink ref="D2" r:id="rId1" xr:uid="{00000000-0004-0000-0000-000000000000}"/>
    <hyperlink ref="D3" r:id="rId2" xr:uid="{00000000-0004-0000-0000-000001000000}"/>
    <hyperlink ref="D4" r:id="rId3" xr:uid="{00000000-0004-0000-0000-000002000000}"/>
    <hyperlink ref="D5" r:id="rId4" xr:uid="{00000000-0004-0000-0000-000003000000}"/>
    <hyperlink ref="D6" r:id="rId5" xr:uid="{00000000-0004-0000-0000-000004000000}"/>
    <hyperlink ref="D7" r:id="rId6" xr:uid="{00000000-0004-0000-0000-000005000000}"/>
    <hyperlink ref="D8" r:id="rId7" xr:uid="{00000000-0004-0000-0000-000006000000}"/>
    <hyperlink ref="D9" r:id="rId8" xr:uid="{00000000-0004-0000-0000-000007000000}"/>
    <hyperlink ref="D11" r:id="rId9" xr:uid="{00000000-0004-0000-0000-000008000000}"/>
    <hyperlink ref="D12" r:id="rId10" xr:uid="{00000000-0004-0000-0000-000009000000}"/>
    <hyperlink ref="D13" r:id="rId11" xr:uid="{00000000-0004-0000-0000-00000A000000}"/>
    <hyperlink ref="D15" r:id="rId12" xr:uid="{00000000-0004-0000-0000-00000B000000}"/>
    <hyperlink ref="D16" r:id="rId13" xr:uid="{00000000-0004-0000-0000-00000C000000}"/>
    <hyperlink ref="D19" r:id="rId14" xr:uid="{00000000-0004-0000-0000-00000D000000}"/>
    <hyperlink ref="D20" r:id="rId15" xr:uid="{00000000-0004-0000-0000-00000E000000}"/>
    <hyperlink ref="D21" r:id="rId16" xr:uid="{00000000-0004-0000-0000-00000F000000}"/>
    <hyperlink ref="D22" r:id="rId17" xr:uid="{00000000-0004-0000-0000-000010000000}"/>
    <hyperlink ref="D23" r:id="rId18" xr:uid="{00000000-0004-0000-0000-000011000000}"/>
    <hyperlink ref="D24" r:id="rId19" xr:uid="{00000000-0004-0000-0000-000012000000}"/>
    <hyperlink ref="D25" r:id="rId20" xr:uid="{00000000-0004-0000-0000-000013000000}"/>
    <hyperlink ref="D26" r:id="rId21" xr:uid="{00000000-0004-0000-0000-000014000000}"/>
    <hyperlink ref="D27" r:id="rId22" xr:uid="{00000000-0004-0000-0000-000015000000}"/>
    <hyperlink ref="D29" r:id="rId23" xr:uid="{00000000-0004-0000-0000-000016000000}"/>
    <hyperlink ref="D30" r:id="rId24" xr:uid="{00000000-0004-0000-0000-000017000000}"/>
    <hyperlink ref="D31" r:id="rId25" xr:uid="{00000000-0004-0000-0000-000018000000}"/>
    <hyperlink ref="D32" r:id="rId26" xr:uid="{00000000-0004-0000-0000-000019000000}"/>
    <hyperlink ref="D33" r:id="rId27" xr:uid="{00000000-0004-0000-0000-00001A000000}"/>
    <hyperlink ref="D34" r:id="rId28" xr:uid="{00000000-0004-0000-0000-00001B000000}"/>
    <hyperlink ref="D35" r:id="rId29" xr:uid="{00000000-0004-0000-0000-00001C000000}"/>
    <hyperlink ref="D37" r:id="rId30" xr:uid="{00000000-0004-0000-0000-00001D000000}"/>
    <hyperlink ref="D38" r:id="rId31" xr:uid="{00000000-0004-0000-0000-00001E000000}"/>
    <hyperlink ref="D39" r:id="rId32" xr:uid="{00000000-0004-0000-0000-00001F000000}"/>
    <hyperlink ref="D40" r:id="rId33" xr:uid="{00000000-0004-0000-0000-000020000000}"/>
    <hyperlink ref="D41" r:id="rId34" xr:uid="{00000000-0004-0000-0000-000021000000}"/>
    <hyperlink ref="D42" r:id="rId35" xr:uid="{00000000-0004-0000-0000-000022000000}"/>
    <hyperlink ref="D43" r:id="rId36" xr:uid="{00000000-0004-0000-0000-000023000000}"/>
    <hyperlink ref="D45" r:id="rId37" xr:uid="{00000000-0004-0000-0000-000024000000}"/>
    <hyperlink ref="D49" r:id="rId38" xr:uid="{00000000-0004-0000-0000-000025000000}"/>
    <hyperlink ref="D50" r:id="rId39" xr:uid="{00000000-0004-0000-0000-000026000000}"/>
    <hyperlink ref="D51" r:id="rId40" xr:uid="{00000000-0004-0000-0000-000027000000}"/>
    <hyperlink ref="D52" r:id="rId41" xr:uid="{00000000-0004-0000-0000-000028000000}"/>
    <hyperlink ref="D53" r:id="rId42" xr:uid="{00000000-0004-0000-0000-000029000000}"/>
    <hyperlink ref="D54" r:id="rId43" xr:uid="{00000000-0004-0000-0000-00002A000000}"/>
    <hyperlink ref="D62" r:id="rId44" xr:uid="{00000000-0004-0000-0000-00002B000000}"/>
    <hyperlink ref="D65" r:id="rId45" xr:uid="{00000000-0004-0000-0000-00002C000000}"/>
    <hyperlink ref="D71" r:id="rId46" xr:uid="{00000000-0004-0000-0000-00002D000000}"/>
    <hyperlink ref="D72" r:id="rId47" xr:uid="{00000000-0004-0000-0000-00002E000000}"/>
    <hyperlink ref="D73" r:id="rId48" xr:uid="{00000000-0004-0000-0000-00002F000000}"/>
    <hyperlink ref="D74" r:id="rId49" xr:uid="{00000000-0004-0000-0000-000030000000}"/>
    <hyperlink ref="D75" r:id="rId50" xr:uid="{00000000-0004-0000-0000-000031000000}"/>
    <hyperlink ref="D77" r:id="rId51" xr:uid="{00000000-0004-0000-0000-000032000000}"/>
    <hyperlink ref="D78" r:id="rId52" xr:uid="{00000000-0004-0000-0000-000033000000}"/>
    <hyperlink ref="D79" r:id="rId53" xr:uid="{00000000-0004-0000-0000-000034000000}"/>
    <hyperlink ref="D81" r:id="rId54" xr:uid="{00000000-0004-0000-0000-000035000000}"/>
    <hyperlink ref="D82" r:id="rId55" xr:uid="{00000000-0004-0000-0000-000036000000}"/>
    <hyperlink ref="D83" r:id="rId56" xr:uid="{00000000-0004-0000-0000-000037000000}"/>
    <hyperlink ref="D84" r:id="rId57" xr:uid="{00000000-0004-0000-0000-000038000000}"/>
    <hyperlink ref="D85" r:id="rId58" xr:uid="{00000000-0004-0000-0000-000039000000}"/>
    <hyperlink ref="D86" r:id="rId59" xr:uid="{00000000-0004-0000-0000-00003A000000}"/>
    <hyperlink ref="D87" r:id="rId60" xr:uid="{00000000-0004-0000-0000-00003B000000}"/>
    <hyperlink ref="D88" r:id="rId61" xr:uid="{00000000-0004-0000-0000-00003C000000}"/>
    <hyperlink ref="D89" r:id="rId62" xr:uid="{00000000-0004-0000-0000-00003D000000}"/>
    <hyperlink ref="D90" r:id="rId63" xr:uid="{00000000-0004-0000-0000-00003E000000}"/>
    <hyperlink ref="D91" r:id="rId64" xr:uid="{00000000-0004-0000-0000-00003F000000}"/>
    <hyperlink ref="D92" r:id="rId65" xr:uid="{00000000-0004-0000-0000-000040000000}"/>
    <hyperlink ref="D93" r:id="rId66" xr:uid="{00000000-0004-0000-0000-000041000000}"/>
    <hyperlink ref="D94" r:id="rId67" xr:uid="{00000000-0004-0000-0000-000042000000}"/>
    <hyperlink ref="D95" r:id="rId68" xr:uid="{00000000-0004-0000-0000-000043000000}"/>
    <hyperlink ref="D96" r:id="rId69" xr:uid="{00000000-0004-0000-0000-000044000000}"/>
    <hyperlink ref="D97" r:id="rId70" xr:uid="{00000000-0004-0000-0000-000045000000}"/>
    <hyperlink ref="D98" r:id="rId71" xr:uid="{00000000-0004-0000-0000-000046000000}"/>
    <hyperlink ref="D99" r:id="rId72" xr:uid="{00000000-0004-0000-0000-000047000000}"/>
    <hyperlink ref="D100" r:id="rId73" xr:uid="{00000000-0004-0000-0000-000048000000}"/>
    <hyperlink ref="D101" r:id="rId74" display="https://www.cdc.gov/nchs/nhcs/index.html" xr:uid="{00000000-0004-0000-0000-000049000000}"/>
    <hyperlink ref="D102" r:id="rId75" display="https://www.cdc.gov/nndss/site.html" xr:uid="{00000000-0004-0000-0000-00004A000000}"/>
    <hyperlink ref="D103" r:id="rId76" display="https://sleepdata.org/" xr:uid="{00000000-0004-0000-0000-00004B000000}"/>
    <hyperlink ref="D104" r:id="rId77" display="https://nda.nih.gov/" xr:uid="{00000000-0004-0000-0000-00004C000000}"/>
    <hyperlink ref="D105" r:id="rId78" display="https://www.niddk.nih.gov/about-niddk/strategic-plans-reports/usrds" xr:uid="{00000000-0004-0000-0000-00004D000000}"/>
    <hyperlink ref="D106" r:id="rId79" display="https://nemsis.org/" xr:uid="{00000000-0004-0000-0000-00004E000000}"/>
    <hyperlink ref="D107" r:id="rId80" display="https://hints.cancer.gov/" xr:uid="{00000000-0004-0000-0000-00004F000000}"/>
  </hyperlinks>
  <pageMargins left="0.7" right="0.7" top="0.75" bottom="0.75" header="0.3" footer="0.3"/>
  <tableParts count="1">
    <tablePart r:id="rId8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Data_Prep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Sapountzis</dc:creator>
  <cp:lastModifiedBy>Plowman, Sydney</cp:lastModifiedBy>
  <dcterms:created xsi:type="dcterms:W3CDTF">2026-06-10T19:54:43Z</dcterms:created>
  <dcterms:modified xsi:type="dcterms:W3CDTF">2026-09-23T12:09:14Z</dcterms:modified>
</cp:coreProperties>
</file>