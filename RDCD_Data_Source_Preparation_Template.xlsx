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emailsc-my.sharepoint.com/personal/splowman_mailbox_sc_edu/Documents/Projects/Data Sources/rdcd data sources app/"/>
    </mc:Choice>
  </mc:AlternateContent>
  <xr:revisionPtr revIDLastSave="51" documentId="11_2A85122CB0819D5AF39811662848232F6ABEE378" xr6:coauthVersionLast="47" xr6:coauthVersionMax="47" xr10:uidLastSave="{23F458C5-F592-49BC-BDD8-3BFD455B7EFD}"/>
  <bookViews>
    <workbookView xWindow="14295" yWindow="0" windowWidth="14610" windowHeight="15585" xr2:uid="{00000000-000D-0000-FFFF-FFFF00000000}"/>
  </bookViews>
  <sheets>
    <sheet name="Data_Pre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04" i="1" l="1"/>
  <c r="AJ103" i="1"/>
  <c r="AJ102" i="1"/>
  <c r="AJ101" i="1"/>
  <c r="AJ100" i="1"/>
  <c r="AJ99" i="1"/>
  <c r="AJ98" i="1"/>
  <c r="AJ97" i="1"/>
  <c r="AJ96" i="1"/>
  <c r="AJ95" i="1"/>
  <c r="AJ94" i="1"/>
  <c r="AJ93" i="1"/>
  <c r="AJ92" i="1"/>
  <c r="AJ91" i="1"/>
  <c r="AJ90" i="1"/>
  <c r="AJ89" i="1"/>
  <c r="AJ88" i="1"/>
  <c r="AJ87" i="1"/>
  <c r="AJ86" i="1"/>
  <c r="AJ85" i="1"/>
  <c r="AJ84" i="1"/>
  <c r="AJ83" i="1"/>
  <c r="AJ82" i="1"/>
  <c r="AJ81" i="1"/>
  <c r="AJ80" i="1"/>
  <c r="AJ79" i="1"/>
  <c r="AJ78" i="1"/>
  <c r="AJ77" i="1"/>
  <c r="AJ76" i="1"/>
  <c r="AJ75" i="1"/>
  <c r="AJ74" i="1"/>
  <c r="AJ73" i="1"/>
  <c r="AJ72" i="1"/>
  <c r="AJ71" i="1"/>
  <c r="AJ70" i="1"/>
  <c r="AJ69" i="1"/>
  <c r="AJ68" i="1"/>
  <c r="AJ67" i="1"/>
  <c r="AJ66" i="1"/>
  <c r="AJ65" i="1"/>
  <c r="AJ64" i="1"/>
  <c r="AJ63" i="1"/>
  <c r="AJ62" i="1"/>
  <c r="AJ61" i="1"/>
  <c r="AJ60" i="1"/>
  <c r="AJ59" i="1"/>
  <c r="AJ58" i="1"/>
  <c r="AJ57" i="1"/>
  <c r="AJ56" i="1"/>
  <c r="AJ55" i="1"/>
  <c r="AJ54" i="1"/>
  <c r="AJ53" i="1"/>
  <c r="AJ52" i="1"/>
  <c r="AJ51" i="1"/>
  <c r="AJ50" i="1"/>
  <c r="AJ49" i="1"/>
  <c r="AJ48" i="1"/>
  <c r="AJ47" i="1"/>
  <c r="AJ46" i="1"/>
  <c r="AJ45" i="1"/>
  <c r="AJ44" i="1"/>
  <c r="AJ43" i="1"/>
  <c r="AJ42" i="1"/>
  <c r="AJ41" i="1"/>
  <c r="AJ40" i="1"/>
  <c r="AJ39" i="1"/>
  <c r="AJ38" i="1"/>
  <c r="AJ37" i="1"/>
  <c r="AJ36" i="1"/>
  <c r="AJ35" i="1"/>
  <c r="AJ34" i="1"/>
  <c r="AJ33" i="1"/>
  <c r="AJ32" i="1"/>
  <c r="AJ31" i="1"/>
  <c r="AJ30" i="1"/>
  <c r="AJ29" i="1"/>
  <c r="AJ28" i="1"/>
  <c r="AJ27" i="1"/>
  <c r="AJ26" i="1"/>
  <c r="AJ25" i="1"/>
  <c r="AJ24" i="1"/>
  <c r="AJ23" i="1"/>
  <c r="AJ22" i="1"/>
  <c r="AJ21" i="1"/>
  <c r="AJ20" i="1"/>
  <c r="AJ19" i="1"/>
  <c r="AJ18" i="1"/>
  <c r="AJ17" i="1"/>
  <c r="AJ16" i="1"/>
  <c r="AJ15" i="1"/>
  <c r="AJ14" i="1"/>
  <c r="AJ13" i="1"/>
  <c r="AJ12" i="1"/>
  <c r="AJ11" i="1"/>
  <c r="AJ10" i="1"/>
  <c r="AJ9" i="1"/>
  <c r="AJ8" i="1"/>
  <c r="AJ7" i="1"/>
  <c r="AJ6" i="1"/>
  <c r="AJ5" i="1"/>
  <c r="AJ4" i="1"/>
  <c r="AJ3" i="1"/>
  <c r="AJ2" i="1"/>
</calcChain>
</file>

<file path=xl/sharedStrings.xml><?xml version="1.0" encoding="utf-8"?>
<sst xmlns="http://schemas.openxmlformats.org/spreadsheetml/2006/main" count="3137" uniqueCount="1647">
  <si>
    <t>Record ID</t>
  </si>
  <si>
    <t>Data Source</t>
  </si>
  <si>
    <t>Official Link Text</t>
  </si>
  <si>
    <t>Official URL</t>
  </si>
  <si>
    <t>Main Data Type / Use</t>
  </si>
  <si>
    <t>Raw Access Level</t>
  </si>
  <si>
    <t>Access Level Standardized</t>
  </si>
  <si>
    <t>Access Burden</t>
  </si>
  <si>
    <t>Primary Category</t>
  </si>
  <si>
    <t>Secondary Categories / Tags</t>
  </si>
  <si>
    <t>Keywords for Search</t>
  </si>
  <si>
    <t>Data Type Standardized</t>
  </si>
  <si>
    <t>Topic Area(s)</t>
  </si>
  <si>
    <t>Population</t>
  </si>
  <si>
    <t>Geography Coverage</t>
  </si>
  <si>
    <t>Geographic Unit</t>
  </si>
  <si>
    <t>Unit of Analysis</t>
  </si>
  <si>
    <t>Individual-level Data?</t>
  </si>
  <si>
    <t>Area-level Data?</t>
  </si>
  <si>
    <t>Longitudinal?</t>
  </si>
  <si>
    <t>Years Available</t>
  </si>
  <si>
    <t>Refresh Frequency</t>
  </si>
  <si>
    <t>Linkage Potential</t>
  </si>
  <si>
    <t>South Carolina Relevance</t>
  </si>
  <si>
    <t>Common Variables / Measures</t>
  </si>
  <si>
    <t>Suggested Use Cases</t>
  </si>
  <si>
    <t>Companion Datasets</t>
  </si>
  <si>
    <t>Limitations / Cautions</t>
  </si>
  <si>
    <t>Data Governance Notes</t>
  </si>
  <si>
    <t>RDCD Consultation Notes</t>
  </si>
  <si>
    <t>Demo Include?</t>
  </si>
  <si>
    <t>Date Verified</t>
  </si>
  <si>
    <t>Verified By</t>
  </si>
  <si>
    <t>Priority</t>
  </si>
  <si>
    <t>Status</t>
  </si>
  <si>
    <t>App Search Text</t>
  </si>
  <si>
    <t>DS-001</t>
  </si>
  <si>
    <t>N3C Data Enclave</t>
  </si>
  <si>
    <t>N3C Data Access (NCATS)</t>
  </si>
  <si>
    <t>https://ncats.nih.gov/research/research-activities/n3c/data-overview/access</t>
  </si>
  <si>
    <t>Large harmonized clinical/EHR data resource, especially useful for COVID-19 and related health outcomes research</t>
  </si>
  <si>
    <t>Controlled/restricted</t>
  </si>
  <si>
    <t>High</t>
  </si>
  <si>
    <t>EHR/clinical</t>
  </si>
  <si>
    <t>Cancer; Genomics/molecular; Synthetic/methods; Renal; N3C; COVID-19; clinical; EHR</t>
  </si>
  <si>
    <t>EHR; electronic health record; clinical; diagnosis: genomics; synthetic; simulation; EHR simulator; fake data; EMR; patient-level; real-world data; claims; expenditures; n3c data enclave; health care utilization/cost; ehr/clinical</t>
  </si>
  <si>
    <t>COVID19; Synthetic; Cancer; Renal</t>
  </si>
  <si>
    <t>Patients contributed by healthcare organizations across the United States</t>
  </si>
  <si>
    <t>United States</t>
  </si>
  <si>
    <t>Other</t>
  </si>
  <si>
    <t>Patient</t>
  </si>
  <si>
    <t>Yes</t>
  </si>
  <si>
    <t>No</t>
  </si>
  <si>
    <t>2018-Present</t>
  </si>
  <si>
    <t>Ongoing/Periodic</t>
  </si>
  <si>
    <t>Demographics; clinical conditions; procedures; medications; laboratory results; encounters; specialty clinic indicators; social determinants of health; in-hospital measures</t>
  </si>
  <si>
    <t>clinical phenotyping; data quality assessment; predictive modeling; collaborative research; data visualization</t>
  </si>
  <si>
    <t>CMS Data; All of Us Research Program; SEER Program; The Cancer Imaging Archive — TCIA; HCUP / HCUPnet;</t>
  </si>
  <si>
    <t>values and classifications may differ between contributing institutions; Coding, claims, and enrollment rules can change over time; restricted files may be needed. Confirm the access tier and licensing terms.</t>
  </si>
  <si>
    <t>Restricted access; expect registration, DUA, DUR, training, and IRB approval requirements</t>
  </si>
  <si>
    <t>Candidate</t>
  </si>
  <si>
    <t>SP</t>
  </si>
  <si>
    <t>Medium</t>
  </si>
  <si>
    <t>Complete</t>
  </si>
  <si>
    <t>DS-002</t>
  </si>
  <si>
    <t>All of Us Research Program</t>
  </si>
  <si>
    <t>Researcher Workbench (All of Us Research Hub)</t>
  </si>
  <si>
    <t>https://www.researchallofus.org/data-tools/workbench/</t>
  </si>
  <si>
    <t>Surveys, EHR, genomics, physical measurements, wearables, social/behavioral factors</t>
  </si>
  <si>
    <t>Registered/controlled</t>
  </si>
  <si>
    <t>EHR; clinical; genomics; surveys; physical measurements; wearable and mobile device data; natural language processing; transcriptomics; All of Us</t>
  </si>
  <si>
    <t>EHR; clinical, electronic health record; genomics; survey; mobile device data; physical measurements; health care utilization/cost; RNA sequencing; natural language processing; NLP; transcriptomics; proteomics; multiomics; clinical notes data; All of Us; all of us research program</t>
  </si>
  <si>
    <t>Survey</t>
  </si>
  <si>
    <t>infectious diseases; mental health and behavioral health; chronic diseases; lifestyle; environmental</t>
  </si>
  <si>
    <t>adults (18+) and are intentionally recruited from diverse and historically underrepresented populations</t>
  </si>
  <si>
    <t>Individual</t>
  </si>
  <si>
    <t>2017-Present</t>
  </si>
  <si>
    <t>demographics; socioeconomic; geographic; EHR-derived variables; mortality; claims; mobility; lifestyle; physical activity; sleep;  genotyping; biomarkers; whole genome sequencing; nutrition; environmental exposures; minute-level metrics; device provenance; gene expression (RNA-seq); proteomics</t>
  </si>
  <si>
    <t>Genomic and Precision medicine; epidemiology and disease outcomes; clinical and translational research; social determinants of health; wearable and mobile health applications; data integration and method development; replication and validation studies</t>
  </si>
  <si>
    <t>MEPS; CMS Data; HCUP / HCUPnet</t>
  </si>
  <si>
    <t>Coding, claims, and enrollment rules can change over time; restricted files may be needed. Confirm the access tier and licensing terms.</t>
  </si>
  <si>
    <t>Registration plus controlled files; application or agreement may be required.</t>
  </si>
  <si>
    <t>EM</t>
  </si>
  <si>
    <t>DS-003</t>
  </si>
  <si>
    <t>SEER Program</t>
  </si>
  <si>
    <t>SEER / SEER*Stat (SEER)</t>
  </si>
  <si>
    <t>https://seer.cancer.gov/</t>
  </si>
  <si>
    <t>U.S. cancer incidence, survival, prevalence, mortality-linked cancer surveillance</t>
  </si>
  <si>
    <t>Registered public-use</t>
  </si>
  <si>
    <t>Cancer</t>
  </si>
  <si>
    <t>SEER; registry; survival; cancer; oncology; incidence; survival</t>
  </si>
  <si>
    <t>SEER; registry; survival; cancer; oncology; incidence; seer program; registry/surveillance</t>
  </si>
  <si>
    <t>Registry/surveillance</t>
  </si>
  <si>
    <t>all reportable cancer cases diagnosed among residents of SEER registry areas</t>
  </si>
  <si>
    <t>1973-Present</t>
  </si>
  <si>
    <t>Ongoing/annual</t>
  </si>
  <si>
    <t>demographics; cancer site and histology; stage and extent of disease; treatment and therapy; survival and follow-up; risk and exposure factors</t>
  </si>
  <si>
    <t>Incidence and survival analyses; disparity studies; biomarker and imaging work</t>
  </si>
  <si>
    <t>N3C; TCIA; CMS; NCI Genomic Data Commons / TCGA; The Cancer Imaging Archive — TCIA</t>
  </si>
  <si>
    <t>May require controlled access or have suppression/privacy rules; registry variables can be limited.</t>
  </si>
  <si>
    <t>Application nad DUA required for some files</t>
  </si>
  <si>
    <t>DS-004</t>
  </si>
  <si>
    <t>Women’s Health Initiative — WHI</t>
  </si>
  <si>
    <t>Women's Health Initiative (WHI)</t>
  </si>
  <si>
    <t>https://www.whi.org/</t>
  </si>
  <si>
    <t>Long-term women’s health cohort and trials; cardiovascular disease, cancer, osteoporosis, aging</t>
  </si>
  <si>
    <t>Women's Health</t>
  </si>
  <si>
    <t>Aging; Cardiovascular Disease; Cancer; Osteoporosis; Cohort; Longitudinal; Epidemiology; Chronic Disease</t>
  </si>
  <si>
    <t>Women's Health; Postmenopausal Women; Aging; Cohort; Longitudinal; Clinical Trial; Observational Study; Cardiovascular Disease; Cancer; Breast Cancer; Colorectal Cancer; Osteoporosis; Fractures; Mortality; Dementia; Cognitive Health; Chronic Disease; Hormone Therapy; Diet; Nutrition; Physical Activity; Lifestyle; Prevention; Risk Factors</t>
  </si>
  <si>
    <t xml:space="preserve">population heatlh; chronic diseases; non-infectious diseases; diabetes; cancer; cardiovascular;  </t>
  </si>
  <si>
    <t>Postmenopausal women aged 50–79; recruited from 40 clinical centers across the United States</t>
  </si>
  <si>
    <t>1990s - Present</t>
  </si>
  <si>
    <t>Demographics; Hormone therapy use; Menopausal status; Cancer outcomes; Cardiovascular events; Fractures; Osteoporosis; Mortality; Physical activity; Diet and nutrition; BMI and anthropometrics; Smoking; Alcohol use; Medication use; Comorbidities; Quality of life; Cognitive function; Biomarkers; Biospecimens; Genomics</t>
  </si>
  <si>
    <t>Women's health; aging; cardiovascular disease; cancer epidemiology; osteoporosis and fracture research; longitudinal cohort analyses; biomarker and genomics studies; mortality and survival analyses; chronic disease prevention</t>
  </si>
  <si>
    <t>CMS Medicare Claims; National Death Index (NDI); dbGaP; TOPMed; ACS; AHRF</t>
  </si>
  <si>
    <t>Limited South Carolina representation (~262 active participants); restricted-access data requiring proposal review, approvals, and applicable IRB/data use agreements;</t>
  </si>
  <si>
    <t>Submit project/paper proposal to WHI committee; DUA required for data.</t>
  </si>
  <si>
    <t>NS</t>
  </si>
  <si>
    <t>DS-005</t>
  </si>
  <si>
    <t>BioLINCC</t>
  </si>
  <si>
    <t>NHLBI BioLINCC (BioLINCC)</t>
  </si>
  <si>
    <t>https://biolincc.nhlbi.nih.gov/home/</t>
  </si>
  <si>
    <t>NHLBI clinical trial and epidemiologic study datasets and biospecimens</t>
  </si>
  <si>
    <t>Clinical trials</t>
  </si>
  <si>
    <t>Cohort studies; Biospecimens; Genomics; Cardiovascular disease; Lung disease; Blood disorders; NHLBI; Data sharing; Secondary analysis</t>
  </si>
  <si>
    <t xml:space="preserve">Cohort studies; Biospecimens; Genomics; Cardiovascular disease; Lung disease; Blood disorders; NHLBI; </t>
  </si>
  <si>
    <t>Cohort/longitudinal</t>
  </si>
  <si>
    <t>Cardiovascular Disease; Pulmonary Disease; Hematology; molecular medicine</t>
  </si>
  <si>
    <t>Participants enrolled in clinical trials and research studies across multiple disease areas.</t>
  </si>
  <si>
    <t>Unknown</t>
  </si>
  <si>
    <t>Varies by study</t>
  </si>
  <si>
    <t>Irregular</t>
  </si>
  <si>
    <t>Demographics; Clinical outcomes; Laboratory measurements; Biospecimen characterization data; Cardiovascular risk factors; Pulmonary function measures; Hematologic measures; Medication use; Study endpoints; Longitudinal follow-up measures</t>
  </si>
  <si>
    <t>Demographics; Laboratory measurements; Biospecimen characterization data; Cardiovascular risk factors; Pulmonary function measures; Hematologic measures; Medication use; Longitudinal follow-up measures</t>
  </si>
  <si>
    <t>dbGaP; NHLBI BioLINCC Biospecimen Collections</t>
  </si>
  <si>
    <t>Restricted access requiring registration, proposal review, IRB documentation, RMDA approval; study availability and variables vary across collections; datasets are generally phenotypic; not a population-representative database.</t>
  </si>
  <si>
    <t>Registration required; project protocol submission; IRB/ethics approval or exemption documentation required for most studies; Research Materials Distribution Agreement (RMDA) required prior to data release</t>
  </si>
  <si>
    <t>Low</t>
  </si>
  <si>
    <t>DS-006</t>
  </si>
  <si>
    <t>Framingham Heart Study</t>
  </si>
  <si>
    <t>FHS / BioLINCC (BioLINCC)</t>
  </si>
  <si>
    <t>Longitudinal cardiovascular cohort data, clinical measures, genetic and epidemiologic data</t>
  </si>
  <si>
    <t>Chronic disease</t>
  </si>
  <si>
    <t>Cardiovascular disease; Epidemiology; Longitudinal; Aging; Risk factors; Genomics; Biomarkers; Cohort study</t>
  </si>
  <si>
    <t>Cardiovascular disease; Epidemiology; Longitudinal; Aging; Risk factors; Genomics; Biomarkers; Cohort study; environmental factors; chronic diseases; non-infectious diseases</t>
  </si>
  <si>
    <t xml:space="preserve">Cardiovascular Disease; chronic diseases; </t>
  </si>
  <si>
    <t>multigenerational study starting from 1948, sampled men and women from Framingham, Massachuesetts. Sampling phases expanded to future generations (spouses &amp; offspring) to study additional factors to cardiovascular health and other diseases.</t>
  </si>
  <si>
    <t>1948-Present</t>
  </si>
  <si>
    <t>ongoing/Periodic</t>
  </si>
  <si>
    <t>Demographics; Blood pressure; Lipids/cholesterol; BMI; Smoking; Physical exam/activity; Medication use; Diabetes/glucose; Cardiovascular events; Myocardial infarction; Angina; Coronary revascularization; Atrial fibrillation; Stroke/TIA; Heart failure; Intermittent claudication; Mortality; Biomarkers; Genomics; Biospecimens; DNA; Plasma; Serum; Urine; Whole blood</t>
  </si>
  <si>
    <t>Cardiovascular disease epidemiology; longitudinal cohort analyses; chronic disease risk factor research; stroke and cerebrovascular outcomes; aging research; biomarker and genomics studies; mortality and survival analyses; predictive modeling</t>
  </si>
  <si>
    <t>BioLINCC; dbGaP</t>
  </si>
  <si>
    <t>Restricted access requiring proposal approval; not South Carolina-specific; geographic/area-level data availability unclear; generalizability may be limited; variables vary by cohort and exam cycle.</t>
  </si>
  <si>
    <t>Restricted access; proposal approval and data request required; IRB/ethics documentation and data use agreement/RMDA may be required.</t>
  </si>
  <si>
    <t>DS-007</t>
  </si>
  <si>
    <t>Health and Retirement Study — HRS</t>
  </si>
  <si>
    <t>HRS (Health and Retirement Study)</t>
  </si>
  <si>
    <t>https://hrs.isr.umich.edu/</t>
  </si>
  <si>
    <t>Longitudinal aging, retirement, health, cognition, disability, economics</t>
  </si>
  <si>
    <t>Registered public-use plus restricted files</t>
  </si>
  <si>
    <t>Public-use plus restricted files</t>
  </si>
  <si>
    <t>Aging</t>
  </si>
  <si>
    <t>aging; older adults; longitudinal; multimorbidity; cognition; health trajectories; retirement; family</t>
  </si>
  <si>
    <t>aging; older adults; longitudinal; multimorbidity; cognition; health trajectories; add health; cohort/longitudinal; retirement plans; family</t>
  </si>
  <si>
    <t>Aging; Health; Retirement</t>
  </si>
  <si>
    <t>approximately 20,000 U.S. adults aged 50 and older, surveyed every two years</t>
  </si>
  <si>
    <t>1992-Present</t>
  </si>
  <si>
    <t>Ongoing/Annual</t>
  </si>
  <si>
    <t>Demographics; health status; symptoms; health behaviors; ADL/IADL difficulty and dependence; mobility; functional limitations; falls; incontinence; cognition; cognitive tests; work related disability; wealth; work history; socioeconomic status; grip strength; gait speed; weight; biomakers</t>
  </si>
  <si>
    <t>disability outcomes; evaluation of socioeconomically vulnerable populations; aging and health research; cognitive nad neurological studies; retirement and labor market dynamics; social security and finicial security; health care utilization and expenditures; life course and logitudinal studies; behavioral and social science research</t>
  </si>
  <si>
    <t>Add Health; CMS</t>
  </si>
  <si>
    <t>May be cohort-specific and not fully generalizable; check sampling (African-Americans and Hispanics are oversampled), follow-up, and restricted tiers. Confirm the access tier and licensing terms.</t>
  </si>
  <si>
    <t>Resitration for public data required; restricted data only available through RDA</t>
  </si>
  <si>
    <t>DS-008</t>
  </si>
  <si>
    <t>Add Health</t>
  </si>
  <si>
    <t>Add Health (Add Health)</t>
  </si>
  <si>
    <t>https://addhealth.cpc.unc.edu/</t>
  </si>
  <si>
    <t>Longitudinal adolescent-to-adult health, behavior, social environment, cognition, psychosocial</t>
  </si>
  <si>
    <t>aging, longitudinal; cognition; health trajectories</t>
  </si>
  <si>
    <t>aging; longitudinal; cognition; health trajectories; add health; cohort/longitudinal; behavioral health</t>
  </si>
  <si>
    <t>20,000+ U.S. adolescents who were in grades 7-12 during the 1994-95 school year, followed into adulthood across six waves of data collection</t>
  </si>
  <si>
    <t>1994–95 through 2022–25 (ongoing). Six waves of data collection have been completed: Wave I (1994–95), Wave II (1996), Wave III (2001–02), Wave IV (2008–09), Wave V (2016–18), and Wave VI (2022–25)</t>
  </si>
  <si>
    <t>Demographics; school and academic context; social network and relational data; biomarker data; genetic data; health and risk behaviors; psychosocial contructs; family structure; neighborhood and community; socioeconomic status; mover distance</t>
  </si>
  <si>
    <t>education and youth development; health and well-being; social and behavioral sciences</t>
  </si>
  <si>
    <t>CMS; NHANES; HRS</t>
  </si>
  <si>
    <t>May be cohort-specific and not fully generalizable; check sampling, follow-up, and restricted tiers. Confirm the access tier and licensing terms.</t>
  </si>
  <si>
    <t>Registration required for public-use data; contract, data security plan, and IRB approval required for restricted-use data</t>
  </si>
  <si>
    <t>DS-009</t>
  </si>
  <si>
    <t>UK Biobank</t>
  </si>
  <si>
    <t>UK Biobank (UK Biobank)</t>
  </si>
  <si>
    <t>https://www.ukbiobank.ac.uk/</t>
  </si>
  <si>
    <t>Large cohort with health, lifestyle, imaging, genetics, linked medical records</t>
  </si>
  <si>
    <t>Genomics/molecular</t>
  </si>
  <si>
    <t>Aging, EHR/clinical; Imaging; Chronic disease; Cancer; Mental health; SDOH/geospatial</t>
  </si>
  <si>
    <t>uk biobank; cohort/longitudinal; genomics; genetics; molecular epidemiology; hospital records; aging; chronic disease; cancer; medical imaging; imaging biomarkers; mnetal health; cognitive function; physical activity; nutrition; sleep; social determinants of health</t>
  </si>
  <si>
    <t>Genomics/molecular; Aging, EHR/clinical; Imaging; Chronic disease; Cancer; Mental health; SDOH/geospatial</t>
  </si>
  <si>
    <t>500,000 participants aged 40–69 years at enrollment</t>
  </si>
  <si>
    <t>Global/international</t>
  </si>
  <si>
    <t>2006-Present</t>
  </si>
  <si>
    <t>Demographics; lifestyle and behavior (smoking history, alcohol consumption, diet, sleep, ...), health measurements (blood pressure, blood and urine tests, ECG, …), genetic data, imaging and functionla data, questionaire and survey data (mental health, SDOH, health behaviors, ...)</t>
  </si>
  <si>
    <t>disease etiology and risk factor studies, genetic and genomic research, drug discovery and target identification, biomarker discovery and validation, longitudinal/cohort studies, public health, epidemiology, cross-disease analyses</t>
  </si>
  <si>
    <t>All of Us Research Program, HRS, CMS, ADNI</t>
  </si>
  <si>
    <t>May be cohort-specific and not fully generalizable; check sampling, follow-up, and restricted tiers. Confirm the access tier and licensing terms</t>
  </si>
  <si>
    <t>Registration, approval, and fees required for access</t>
  </si>
  <si>
    <t>DS-010</t>
  </si>
  <si>
    <t>ADNI</t>
  </si>
  <si>
    <t>Alzheimer’s Disease Neuroimaging Initiative (ADNI)</t>
  </si>
  <si>
    <t>https://adni.loni.usc.edu/</t>
  </si>
  <si>
    <t>Alzheimer’s clinical, imaging, genetic, biomarker, and longitudinal data</t>
  </si>
  <si>
    <t>Imaging</t>
  </si>
  <si>
    <t>aging; genomics/molecular; mental health; clinical trials; cognition</t>
  </si>
  <si>
    <t>aging; genomics/molecular; mental health; clinical trials; cognition; adni; cohort/longitudinal</t>
  </si>
  <si>
    <t>Imaging; Genomics/molecular; Mental health; Clinical trials</t>
  </si>
  <si>
    <t>Thousands of adults age ~55–90</t>
  </si>
  <si>
    <t>2004-Present</t>
  </si>
  <si>
    <t>Demographics (age; sex; education); Cognitive tests (MMSE; ADAS-Cog; CDR-SB); Clinical diagnosis (normal; MCI; Alzheimer's disease); MRI measures (hippocampal volume; brain atrophy); PET measures (amyloid; tau; glucose metabolism); Biomarkers (CSF Aβ42; tau); Genetics (APOE genotype; GWAS data); Medical history and medications; Functional status (FAQ; daily activities)</t>
  </si>
  <si>
    <t>Alzheimer's disease progression; Mild cognitive impairment (MCI) conversion prediction; Brain aging and cognitive decline; Neuroimaging biomarker development; Genetic risk factor analyses; Biomarker discovery and validation; Machine learning/predictive modeling; Longitudinal aging studies; Treatment target identification</t>
  </si>
  <si>
    <t>UK Biobank; All of Us Research Program; Health and Retirement Study (HRS); dbGaP; NHANES; ACS; CDC PLACES; ClinicalTrials.gov</t>
  </si>
  <si>
    <t>Registration plus controlled files; application  required.</t>
  </si>
  <si>
    <t>DS-011</t>
  </si>
  <si>
    <t>NHANES</t>
  </si>
  <si>
    <t>NHANES Data (CDC)</t>
  </si>
  <si>
    <t>https://wwwn.cdc.gov/nchs/nhanes/Default.aspx</t>
  </si>
  <si>
    <t>U.S. health, nutrition, physical exams, laboratory measures, biospecimens</t>
  </si>
  <si>
    <t>Open/public</t>
  </si>
  <si>
    <t>Food/nutrition; Environmental exposure; Genomics/molecular; Health care utilization/cost; chronic disease; risk factors; prevalence; health behaviors; surveillance</t>
  </si>
  <si>
    <t>chronic disease; risk factors; prevalence; health behaviors; surveillance; nhanes; survey</t>
  </si>
  <si>
    <t>Food/nutrition; Environmental exposure; Genomics/molecular; Health care utilization/cost; chronic disease</t>
  </si>
  <si>
    <t>~5,000 participants/year, civilian, noninstitutionalized U.S. population of all ages</t>
  </si>
  <si>
    <t>1999-Present</t>
  </si>
  <si>
    <t>Annual/Periodic</t>
  </si>
  <si>
    <t>Demographics (age; sex; race/ethnicity); BMI and anthropometrics; Blood pressure; Diet and nutrition measures; Physical activity; Smoking and alcohol use; Chronic disease status (diabetes; hypertension; cardiovascular disease); Laboratory biomarkers (cholesterol; glucose; HbA1c); Environmental exposure biomarkers; Health insurance and health care access</t>
  </si>
  <si>
    <t>Chronic disease epidemiology; Nutrition and diet studies; Health disparities research; Environmental exposure studies; Risk factor analyses; Population health surveillance; Biomarker research; Trends over time analyses; Health services and access studies; Predictive modeling and methods research</t>
  </si>
  <si>
    <t>BRFSS; NHIS; MEPS; CDC PLACES</t>
  </si>
  <si>
    <t>Cross-sectional design limits causal inference; self-reported measures may introduce recall bias; some subpopulations have small sample sizes; complex survey weights and design must be accounted for in analyses</t>
  </si>
  <si>
    <t>Open/public source; verify citation, download, and data user agreement.</t>
  </si>
  <si>
    <t>DS-012</t>
  </si>
  <si>
    <t>NHIS</t>
  </si>
  <si>
    <t>NHIS Data (CDC)</t>
  </si>
  <si>
    <t>https://www.cdc.gov/nchs/nhis/index.html</t>
  </si>
  <si>
    <t>U.S. household health survey; health status, access, utilization, conditions</t>
  </si>
  <si>
    <t>Health care utilization/cost; Mental health; Maternal/child health; Substance use; HIV/infectious disease; SDOH/geospatial; Aging; chronic disease; risk factors; prevalence; health behaviors; surveillance</t>
  </si>
  <si>
    <t>National Health Interview Survey (NHIS); nhis; health status; chronic disease; health behaviors; health care access; health insurance; preventive care; mental health; disability; health disparities; social determinants of health; population health; survey data; longitudinal linkage; mortality linkage</t>
  </si>
  <si>
    <t>Chronic disease; Health care utilization/cost; Mental health; Maternal/child health; Substance use; HIV/infectious disease; SDOH/geospatial; Aging</t>
  </si>
  <si>
    <t>civilian, noninstitutionalized U.S. population of all ages</t>
  </si>
  <si>
    <t>1957-Present</t>
  </si>
  <si>
    <t>Demographics (age; sex; race/ethnicity); Health status (self-rated health; chronic conditions); Health insurance coverage; Health care access and utilization; Mental health measures; Disability and functional status; Health behaviors (smoking; alcohol use; physical activity); Preventive care and screenings; Family and household characteristics; Social determinants of health</t>
  </si>
  <si>
    <t>Chronic disease epidemiology; Health disparities research; Health care access and utilization studies; Mental health research; Disability and aging studies; Preventive care and screening analyses; Population health surveillance; Social determinants of health research; Policy evaluation; Mortality and survival analyses</t>
  </si>
  <si>
    <t>CMS; NHANES; MEPS; ACS</t>
  </si>
  <si>
    <t>Primarily cross-sectional data; many measures are self-reported and subject to recall bias; limited clinical/laboratory data compared with NHANES; some subgroup analyses may be underpowered; complex survey design requires weighting</t>
  </si>
  <si>
    <t>DS-013</t>
  </si>
  <si>
    <t>BRFSS</t>
  </si>
  <si>
    <t>BRFSS Annual Data (CDC)</t>
  </si>
  <si>
    <t>https://www.cdc.gov/brfss/annual_data/annual_data.htm</t>
  </si>
  <si>
    <t>State-level behavioral risk factors, chronic disease, preventive care, health behaviors</t>
  </si>
  <si>
    <t>Survey; Surveillance; Health behaviors; Risk factors; Preventive care; Mental Health;</t>
  </si>
  <si>
    <t>diabetes; obesity; hypertension; cardiovascular; asthma; COPD; cancer screening; prevalence; prevention; health behaviors; risk factors; preventive care; survey; surveillance; BRFSS; tobacco; alcohol; physical activity; nutrition; mental health; depression; substance use; health care access; insurance; immunization; disability; social determinants of health; SDOH</t>
  </si>
  <si>
    <t>Chronic disease; Health behaviors; Preventive care; Mental health; Substance use; Tobacco use; Alcohol use; Physical activity; Nutrition; Obesity; Diabetes; Hypertension; Health care access; Immunization; Disability; SDOH</t>
  </si>
  <si>
    <t>noninsitionalized US citizens +18 years of age</t>
  </si>
  <si>
    <t>State</t>
  </si>
  <si>
    <t>Varies by indicator, geography, module, and year; annual public-use files generally available from 1970s and onward</t>
  </si>
  <si>
    <t>Annual; specific modules/indicators may vary by year and state.</t>
  </si>
  <si>
    <t>Demographics; Health status; Chronic conditions; Diabetes; Hypertension; Asthma; COPD; Cardiovascular disease; Cancer screening; BMI; Smoking/tobacco use; Alcohol use; Physical activity; Diet/nutrition; Mental health; Disability; Health insurance; Health care access; Preventive care; Immunization; HIV/AIDS-related behaviors; SDOH-related measures</t>
  </si>
  <si>
    <t>Chronic disease epidemiology; health behavior surveillance; risk factor analyses; health disparities research; preventive care and screening analyses; mental health and substance use research; tobacco and alcohol use studies; physical activity and nutrition studies; health care access analyses; South Carolina state-level public health surveillance; trends over time analyses</t>
  </si>
  <si>
    <t>CDC PLACES; NHIS; NHANES; MEPS; ACS; CDC WONDER; County Health Rankings; CDC/ATSDR SVI</t>
  </si>
  <si>
    <t>Repeated cross-sectional survey; indicators/modules and geographic availability vary by year and state; measures are largely self-reported and may be subject to recall and social desirability bias; observational survey data limit causal inference; complex survey design requires use of weights</t>
  </si>
  <si>
    <t>Open/public source; no registration or application required for annual public-use files; verify citation, documentation, survey year, and weighting guidance before analysis.</t>
  </si>
  <si>
    <t>DS-014</t>
  </si>
  <si>
    <t>YRBSS / YRBS</t>
  </si>
  <si>
    <t>CDC YRBSS Data (CDC)</t>
  </si>
  <si>
    <t>https://www.cdc.gov/yrbs/index.html</t>
  </si>
  <si>
    <t>Youth health behaviors, substance use, injury, sexual health, diet, activity</t>
  </si>
  <si>
    <t>Maternal/child health</t>
  </si>
  <si>
    <t>Mental health; Substance use; Food/nutrition; HIV/infectious disease; Chronic disease; Health care utilization/cost; SDOH/geospatial</t>
  </si>
  <si>
    <t>Youth Risk Behavior Surveillance System (YRBSS); adolescent health; youth risk behaviors; mental health; substance use; tobacco use; vaping; alcohol use; sexual health; HIV risk behaviors; nutrition; physical activity; obesity; school health; violence and injury prevention; health disparities;  yrbss / yrbs; survey</t>
  </si>
  <si>
    <t>Mental health; Substance use; Tobacco and vaping; Alcohol use; Sexual health and HIV risk; Nutrition and dietary behaviors; Physical activity; Obesity; Violence and bullying; Injury prevention and safety behaviors; School health; Health disparities among youth</t>
  </si>
  <si>
    <t>high school students in grades 9–12 attending public and private schools</t>
  </si>
  <si>
    <t>1991-Present</t>
  </si>
  <si>
    <t>Age; sex; grade level; race/ethnicity; tobacco and vaping use; alcohol and drug use; depressive symptoms and suicidal behaviors; sexual behaviors; physical activity; dietary behaviors; height and weight (BMI); bullying and violence exposure; injury and safety behaviors</t>
  </si>
  <si>
    <t>Youth risk behavior surveillance; Mental health trend analyses; Substance use and vaping research; Obesity and physical activity studies; Sexual health and HIV prevention research; Violence and bullying studies; Health disparities research; School-based public health evaluations; Policy impact assessments; Geographic and temporal trend analyses</t>
  </si>
  <si>
    <t>BRFSS; NHIS; Add Health; ACS</t>
  </si>
  <si>
    <t>School-based sample excludes most youth not attending school; self-reported behaviors may be under- or over-reported; primarily cross-sectional data; limited clinical and health outcome measures; some state/local surveys are not comparable across years</t>
  </si>
  <si>
    <t>Open/public source; verify citation and download</t>
  </si>
  <si>
    <t>DS-015</t>
  </si>
  <si>
    <t>CDC WONDER</t>
  </si>
  <si>
    <t>CDC WONDER (CDC WONDER)</t>
  </si>
  <si>
    <t>https://wonder.cdc.gov/</t>
  </si>
  <si>
    <t>Mortality, natality, cancer, population, infectious disease, environmental health queries</t>
  </si>
  <si>
    <t>Maternal/child health; HIV/infectious disease; Substance use; Mental health; SDOH/geospatial; Health care utilization/cost; Environmental exposure; Cancer; public health</t>
  </si>
  <si>
    <t>CDC WONDER; mortality; causes of death; vital statistics; death certificates; population health; disease burden; life expectancy; chronic disease mortality; injury mortality; overdose deaths; maternal and infant mortality; infectious disease surveillance; geographic variation; public health surveillance; mortality trends</t>
  </si>
  <si>
    <t>Reports/dashboard</t>
  </si>
  <si>
    <t>Mortality and causes of death; Chronic disease burden; Injury and overdose deaths; Maternal and infant health; Infectious diseases; Life expectancy; Health disparities; Geographic variation in health outcomes; Public health surveillance; Population health trends</t>
  </si>
  <si>
    <t>US community level database from numerous public health sources (AIDS, Births, Cancer, Natality, etc)</t>
  </si>
  <si>
    <t>County</t>
  </si>
  <si>
    <t>Report/dashboard</t>
  </si>
  <si>
    <t>Varies by source and reporting system</t>
  </si>
  <si>
    <t>Cause of death; Age; Sex; Race/ethnicity; Year of death; Geographic location (state; county); Mortality counts; Mortality rates (crude; age-adjusted); Population estimates; Births and fertility measures; Life expectancy indicators</t>
  </si>
  <si>
    <t>Mortality trend analyses; Chronic disease surveillance; Overdose and injury epidemiology; Maternal and infant mortality studies; Geographic health disparities research; Infectious disease burden assessments; Policy impact evaluations; Population health monitoring; Small-area public health analyses; Time-series and forecasting studies</t>
  </si>
  <si>
    <t>ACS; CDC PLACES, BRFSS</t>
  </si>
  <si>
    <t>potential misclassification in death certificate records; ecological analyses can lead to ecological fallacy; small-area estimates may be unstable for rare outcomes; changes in coding practices (e.g., ICD revisions) can affect trend comparisons over time</t>
  </si>
  <si>
    <t>DS-016</t>
  </si>
  <si>
    <t>CDC Open Data Portal</t>
  </si>
  <si>
    <t>CDC Data (Data.CDC.gov)</t>
  </si>
  <si>
    <t>https://data.cdc.gov/</t>
  </si>
  <si>
    <t>Broad CDC public health datasets and dashboards</t>
  </si>
  <si>
    <t>Public health surveillance; Chronic disease; Infectious disease; Environmental health; Mental health; Injury; Vaccinations; Disability; Tobacco use; Policy surveillance; Dashboards; Open data</t>
  </si>
  <si>
    <t>CDC; public health; surveillance; open data; chronic disease; infectious disease; environmental health; vaccinations; tobacco; injury; disability; mental health; dashboards; datasets; visualization; API; state; county</t>
  </si>
  <si>
    <t>Public health surveillance; Chronic disease; Infectious disease; Environmental health; Vaccinations; Disability; Injury and violence; Mental health; Tobacco use; Policy surveillance; Global health</t>
  </si>
  <si>
    <t>Varies by dataset; primarily U.S. public health populations, cases, events, jurisdictions, and health indicators</t>
  </si>
  <si>
    <t>Varies by dataset</t>
  </si>
  <si>
    <t>Irregular / varies by dataset</t>
  </si>
  <si>
    <t>Varies by dataset; public health indicators; disease surveillance measures; vaccination coverage; chronic disease measures; mortality/morbidity indicators; environmental health indicators; injury and violence measures; tobacco use; disability measures; mental health indicators; jurisdiction, time, and geography variables</t>
  </si>
  <si>
    <t>Public health surveillance; open data discovery; state and national trend analyses; dashboard development; chronic disease and infectious disease monitoring; vaccination and tobacco surveillance; environmental health analyses; data visualization and API-based public health research</t>
  </si>
  <si>
    <t>CDC WONDER; BRFSS; CDC PLACES; NHANES; NHIS; ACS; CDC/ATSDR SVI; HealthData.gov</t>
  </si>
  <si>
    <t>Portal contains heterogeneous datasets with different methods, years, geographies, update schedules, and suppression rules; variable definitions and data quality vary by dataset; some datasets are dashboards or aggregated summaries rather than analysis-ready microdata.</t>
  </si>
  <si>
    <t>Open/public portal; no registration generally required for public datasets, though account features may support saved visualizations; verify dataset-specific documentation, citation guidance, update date, API terms, and suppression/privacy notes.</t>
  </si>
  <si>
    <t>DS-017</t>
  </si>
  <si>
    <t>CDC PLACES</t>
  </si>
  <si>
    <t>PLACES Data Portal (CDC)</t>
  </si>
  <si>
    <t>https://www.cdc.gov/places/index.html</t>
  </si>
  <si>
    <t>County, city, census tract, and ZIP-level chronic disease and health behavior estimates</t>
  </si>
  <si>
    <t>Chronic disease; Health behaviors; Preventive care; Disability; Health status; Health-related social needs; SDOH; Small-area estimates; Geospatial; BRFSS-derived; ACS-derived</t>
  </si>
  <si>
    <t>diabetes; obesity; hypertension; cardiovascular; asthma; COPD; cancer; depression; stroke; physical activity; smoking; preventive care; disability; health status; social determinants of health; SDOH; county; census tract; ZIP/ZCTA; small-area estimates; BRFSS; ACS</t>
  </si>
  <si>
    <t>Geospatial/area-level</t>
  </si>
  <si>
    <t>Chronic disease; Health behaviors; Preventive care; Disability; Health status; Health-related social needs; SDOH; Population health; Local public health</t>
  </si>
  <si>
    <t>U.S. adult populations aged 18+ represented through model-based local area estimates</t>
  </si>
  <si>
    <t>Census Tract</t>
  </si>
  <si>
    <t>Census tract</t>
  </si>
  <si>
    <t>Varies by release and measure; PLACES releases include current and prior data, with 500 Cities data for 2016–2019</t>
  </si>
  <si>
    <t>Model-based prevalence estimates; chronic disease outcomes; health risk behaviors; preventive service use; disability; health status; health-related social needs; diabetes; obesity; hypertension; asthma; COPD; coronary heart disease; stroke; depression; smoking; physical inactivity; cancer screening; self-rated health; food insecurity; housing insecurity; transportation barriers; social isolation; county/place/tract/ZCTA identifiers</t>
  </si>
  <si>
    <t>Small-area chronic disease surveillance; South Carolina county and census tract health profiling; diabetes and obesity hotspot identification; health disparities research; SDOH and vulnerability analyses; local public health planning; resource allocation; community needs assessments; data visualization and mapping</t>
  </si>
  <si>
    <t>BRFSS; ACS; CDC/ATSDR SVI; County Health Rankings; USDA Food Environment Atlas; USDA RUCC; CDC WONDER; SC DPH</t>
  </si>
  <si>
    <t>Model-based estimates rather than direct survey measurements; uncertainty should be considered when comparing small areas; measures and methods may vary by release; not individual-level data; some estimates may be suppressed or unstable for small populations.</t>
  </si>
  <si>
    <t>Open/public source; no registration required; verify release year, measure definitions, confidence intervals, geography level, citation guidance, and API/download documentation.</t>
  </si>
  <si>
    <t>DS-018</t>
  </si>
  <si>
    <t>CDC/ATSDR Social Vulnerability Index — SVI</t>
  </si>
  <si>
    <t>SVI Data Download (ATSDR)</t>
  </si>
  <si>
    <t>https://www.atsdr.cdc.gov/place-health/php/svi/index.html</t>
  </si>
  <si>
    <t>County and census tract social vulnerability measures</t>
  </si>
  <si>
    <t>SDOH/geospatial</t>
  </si>
  <si>
    <t>Environmental exposure; Chronic disease; Maternal/child health; Mental health; HIV/infectious disease; Health care utilization/cost; Rurality; South Carolina/local data; SVI; vulnerability; census tract; social determinants; poverty; income; education</t>
  </si>
  <si>
    <t>CDC Social Vulnerability Index (SVI); social vulnerability; social determinants of health (SDOH); community vulnerability; neighborhood disadvantage; socioeconomic status; health equity; environmental justice; disaster preparedness; resilience; census tract data; geographic disparities; vulnerable populations; community risk factors; place-based health; SVI; svi</t>
  </si>
  <si>
    <t>Social determinants of health; Community vulnerability; Health equity and disparities; Socioeconomic disadvantage; Environmental justice; Disaster preparedness and recovery; Access to transportation and housing; Vulnerable populations; Geographic health disparities; Community resilience</t>
  </si>
  <si>
    <t>Comprised of US communities at the census tract and county levels</t>
  </si>
  <si>
    <t>2000-Present</t>
  </si>
  <si>
    <t>Socioeconomic status (poverty; unemployment; income; education); Household composition (age 65+; age &lt;18; disability; single-parent households); Minority status and language; Housing type and transportation; Overall SVI score/ranking; Theme-specific vulnerability scores; Census tract and county identifiers</t>
  </si>
  <si>
    <t>Health disparities research; Social determinants of health analyses; Environmental justice studies; Disaster preparedness and response planning; Community vulnerability mapping; Resource allocation and needs assessment; Geographic risk stratification; Public health program targeting; Health equity evaluations; Contextual linkage to clinical or survey datasets</t>
  </si>
  <si>
    <t>ACS; CDC PLACES; County Health Rankings &amp; Roadmaps; NHIS; NHANES; BRFSS; CDC WONDER; CDC Environmental Public Health Tracking Network; EPA Air Quality System (AQS); All of Us Research Program</t>
  </si>
  <si>
    <t>Area-level measures cannot be interpreted at the individual level (ecological fallacy); updated periodically rather than continuously; vulnerability indices may mask within-area heterogeneity; methodology changes across releases can affect comparisons over time; intended for population-level planning rather than individual risk assessment</t>
  </si>
  <si>
    <t>Publicly available data; derived from U.S. Census/ACS sources; no individual-level identifiers; no IRB typically required for standalone use; may be linked with restricted datasets subject to additional data use agreements and privacy requirements</t>
  </si>
  <si>
    <t>DS-019</t>
  </si>
  <si>
    <t>U.S. Census American Community Survey — ACS</t>
  </si>
  <si>
    <t>ACS API (Census.gov)</t>
  </si>
  <si>
    <t>https://www.census.gov/programs-surveys/acs/data/data-via-api.html</t>
  </si>
  <si>
    <t>Demographic, socioeconomic, housing, insurance, education, employment variables</t>
  </si>
  <si>
    <t xml:space="preserve">Rurality; South Carolina/local data; Aging; Maternal/child health, mental health, chronic disease </t>
  </si>
  <si>
    <t>American Community Survey (ACS); U.S. Census Bureau; Social determinants of health (SDOH); Demographics; Socioeconomic status; Poverty; Education; Income; Employment; Housing; Health insurance; Census tract; Geospatial data; Neighborhood characteristics; Rurality; Population health; Health disparities; Social vulnerability; South Carolina data</t>
  </si>
  <si>
    <t>SDOH/geospatial; Rurality; South Carolina/local data; Aging; Maternal/child health; Chronic disease; Mental health; Health care utilization/cost</t>
  </si>
  <si>
    <t>economic, social, demographic, housing data - areas/regions with populations of +65,000 for 1 Year ACS or less than 20,000 for 5 Year ACS</t>
  </si>
  <si>
    <t>2005-Present</t>
  </si>
  <si>
    <t>Annual/periodic</t>
  </si>
  <si>
    <t>Age; Sex; Race/ethnicity; Educational attainment; Household income; Poverty status; Employment status; Occupation; Health insurance coverage; Disability status; Housing tenure (owner/renter); Housing costs; Household composition; Language spoken at home; Nativity/immigration status; Transportation access; Internet access</t>
  </si>
  <si>
    <t>Health disparities research; Social determinants of health (SDOH) studies; Population health surveillance; Community needs assessments; Geographic and neighborhood analyses; Rural–urban comparisons; Health equity research; Demographic and socioeconomic trend analyses; Resource allocation and policy evaluation; Small-area estimation and spatial epidemiology</t>
  </si>
  <si>
    <t>CDC PLACES; County Health Rankings &amp; Roadmaps; CDC/ATSDR Social Vulnerability Index (SVI); AHRQ SDOH Database; HRSA Area Health Resources Files (AHRF)</t>
  </si>
  <si>
    <t>Self-reported survey data; Sampling error and margins of error can be substantial for small geographic areas or subpopulations; Cross-sectional design limits causal inference; Limited health-related measures; Estimates may be unstable for rare populations or small areas; Geographic boundaries and variable definitions can change over time; Public-use data may be aggregated to protect confidentiality</t>
  </si>
  <si>
    <t>Publicly available dataset administered by the U.S. Census Bureau; No individual-level identifiers in public-use files; Data are subject to Census confidentiality protections and disclosure avoidance procedures; Use of estimates should account for survey weights and margins of error; Citation of ACS source year(s) and data products is recommended; Generally low restrictions on use, redistribution, and publication of aggregated results</t>
  </si>
  <si>
    <t>DS-020</t>
  </si>
  <si>
    <t>County Health Rankings &amp; Roadmaps</t>
  </si>
  <si>
    <t>County Health Rankings Data (County Health Rankings &amp; Roadmaps)</t>
  </si>
  <si>
    <t>https://www.countyhealthrankings.org/health-data</t>
  </si>
  <si>
    <t>County-level health outcomes, health factors, social and economic indicators</t>
  </si>
  <si>
    <t>Health care utilization/cost; Rurality; Chronic disease; Maternal/child health; Mental health; Substance use; South Carolina/local data</t>
  </si>
  <si>
    <t>County Health Rankings &amp; Roadmaps; County Health Rankings; Population health; Social determinants of health (SDOH); Health outcomes; Health factors; Health disparities; Health equity; County-level data; Community health; Health behaviors; Clinical care; Physical environment; Socioeconomic factors; Rural health; Geographic variation; Public health surveillance; Population health indicators</t>
  </si>
  <si>
    <t>SDOH/geospatial; Chronic disease; Mental health; Substance use; Maternal/child health; Health care utilization/cost; Rurality</t>
  </si>
  <si>
    <t>Community level data, as well as disaggregated data to examine racialized trends or patterns, snapshots of county health before yearly measurements conclude</t>
  </si>
  <si>
    <t>County-level</t>
  </si>
  <si>
    <t>Country</t>
  </si>
  <si>
    <t>2010-Present</t>
  </si>
  <si>
    <t>Life expectancy; Premature mortality; Poor physical health days; Poor mental health days; Adult smoking; Obesity; Physical inactivity; Excessive drinking; Uninsured rate; Primary care physician ratio; Preventable hospital stays; High school graduation; Unemployment; Income inequality; Children in poverty; Air pollution; Housing problems</t>
  </si>
  <si>
    <t>Health disparities research; Population health assessment; Community health needs assessments; Social determinants of health (SDOH) analyses; Rural health studies; Geographic variation and spatial epidemiology; Health equity research; Public health program planning and evaluation; Resource allocation and policy analysis</t>
  </si>
  <si>
    <t>U.S. Census American Community Survey (ACS); CDC PLACES; CDC/ATSDR Social Vulnerability Index (SVI); AHRQ SDOH Database; HRSA Area Health Resources Files (AHRF)</t>
  </si>
  <si>
    <t>Ecological (county-level) data may not reflect individual-level relationships; Variable definitions and data sources may change over time; Time lags exist for some indicators; County-level aggregation can mask within-county disparities; Limited granularity for local analyses below the county level; Rankings are influenced by methodological choices and weighting schemes; Not suitable for causal inference</t>
  </si>
  <si>
    <t>Publicly available dataset maintained by County Health Rankings &amp; Roadmaps (University of Wisconsin Population Health Institute and partners); Derived from multiple federal and state data sources; Aggregated county-level data with no individual identifiers; Generally no use restrictions for research, education, and public health applications; Users should cite both County Health Rankings and the original source datasets when appropriate; Methodology and indicator definitions are updated periodically and should be documented in analyses</t>
  </si>
  <si>
    <t>DS-021</t>
  </si>
  <si>
    <t>AHRQ SDOH Database</t>
  </si>
  <si>
    <t>AHRQ SDOH Data &amp; Analytics (AHRQ)</t>
  </si>
  <si>
    <t>https://www.ahrq.gov/sdoh/index.html</t>
  </si>
  <si>
    <t>Linkable social determinants of health variables from federal and public sources</t>
  </si>
  <si>
    <t>AHRQ SDOH Database; Agency for Healthcare Research and Quality; Social determinants of health (SDOH); Area-level measures; Community characteristics; Neighborhood characteristics; Socioeconomic factors; Healthcare access; Social context; Built environment; Demographics; Geographic disparities; Health equity; Population health; Census-linked data; County-level data; ZIP Code-level data</t>
  </si>
  <si>
    <t>SDOH/geospatial; Health care utilization/cost; Rurality; Chronic disease; Mental health; Maternal/child health; Health equity</t>
  </si>
  <si>
    <t>A curated collection of US community-level social determinants of health indicators—including demographic, economic, educational, housing, environmental, and healthcare access measures - compiled from many data sources</t>
  </si>
  <si>
    <t>2009-2023</t>
  </si>
  <si>
    <t>Median household income; Poverty rate; Educational attainment; Unemployment rate; Housing cost burden; Homeownership rate; Income inequality; Vehicle access; Broadband/internet access; Food access; Population density; Rurality; Health insurance coverage; Racial/ethnic composition; Linguistic isolation; Social vulnerability indicators</t>
  </si>
  <si>
    <t>Health disparities research; Social determinants of health (SDOH) analyses; Health equity studies; Geographic and neighborhood effects research; Risk adjustment and contextual covariate modeling; Healthcare access analyses; Rural health studies; Spatial epidemiology; Community needs assessments; Population health research</t>
  </si>
  <si>
    <t>U.S. Census American Community Survey (ACS); County Health Rankings &amp; Roadmaps; CDC PLACES; CDC/ATSDR Social Vulnerability Index (SVI)</t>
  </si>
  <si>
    <t>Area-level measures may not reflect individual circumstances (ecological fallacy); Variable availability and geographic resolution vary across indicators; Data are derived from multiple sources with differing methodologies and update schedules; Time lags may affect current relevance; Missing or suppressed data may occur in small areas; Geographic boundary changes can affect longitudinal analyses; Not suitable for individual-level causal inference</t>
  </si>
  <si>
    <t>Publicly available dataset maintained by the Agency for Healthcare Research and Quality (AHRQ); Compiles area-level indicators from multiple federal data sources; Contains no individual-level identifiers; Generally low restrictions on use, sharing, and publication; Users should cite both AHRQ and the original source datasets when applicable; Indicator definitions, geographic coverage, and update schedules may vary by data source and should be documented in analyses</t>
  </si>
  <si>
    <t>DS-022</t>
  </si>
  <si>
    <t>HRSA Area Health Resources Files — AHRF</t>
  </si>
  <si>
    <t>HRSA AHRF (AHRF)</t>
  </si>
  <si>
    <t>https://ahrf.hrsa.gov/ALLVARs_list.asp</t>
  </si>
  <si>
    <t>County, state, and national health workforce, facilities, population, economics</t>
  </si>
  <si>
    <t>Health care utilization/cost</t>
  </si>
  <si>
    <t>SDOH/geospatial; Rurality; Chronic disease; Maternal/child health; Mental health; Substance use; South Carolina/local data</t>
  </si>
  <si>
    <t>HRSA Area Health Resources Files (AHRF); AHRF; Health Resources and Services Administration; Healthcare workforce; Healthcare access; Health services resources; Provider supply; Physician workforce; Hospital resources; Health professional shortage areas (HPSA); Medically underserved areas (MUA); County-level health data; Rural health; Healthcare utilization; Population health; Health disparities; Health services research</t>
  </si>
  <si>
    <t>Health care utilization/cost; SDOH/geospatial; Rurality; Health services research; Healthcare workforce; Healthcare access; Health disparities</t>
  </si>
  <si>
    <t>Aggregated data on health professions, facilities, population demgraphics, and hospital utilization/expenditure (6000 variables) at geographic levels</t>
  </si>
  <si>
    <t>1979-Present</t>
  </si>
  <si>
    <t>Primary care physicians per capita; Specialist physicians per capita; Dentists per capita; Hospital beds; Health facilities; Health professional shortage area (HPSA) status; Medically underserved area/population (MUA/P) status; Population demographics; Poverty rate; Unemployment rate; Health insurance coverage; Medicare utilization; Rurality indicators; Healthcare workforce supply; Healthcare access measures</t>
  </si>
  <si>
    <t>Health services research; Healthcare workforce analyses; Healthcare access and provider shortage studies; Rural health research; Health disparities and equity analyses; Resource allocation and workforce planning; Population health and community health assessments; Geographic variation studies; Healthcare policy evaluation</t>
  </si>
  <si>
    <t>U.S. Census American Community Survey (ACS); AHRQ SDOH Database; County Health Rankings &amp; Roadmaps; CDC PLACES; CMS Data</t>
  </si>
  <si>
    <t>County-level aggregate data only; Not suitable for individual-level analyses; Variable definitions and data sources may change across years; Data are compiled from multiple federal sources with differing update schedules and methodologies; Time lags may affect workforce and facility measures; Missing or suppressed values may occur for some counties; County-level measures may mask within-county variation and disparities</t>
  </si>
  <si>
    <t>Publicly available dataset maintained by the Health Resources and Services Administration (HRSA); Aggregates data from multiple federal sources; Contains no individual-level identifiers or protected health information; Generally low restrictions on use, sharing, and publication; Users should cite HRSA AHRF and original source datasets when appropriate; Variable definitions, source agencies, and update schedules should be documented when conducting longitudinal analyses</t>
  </si>
  <si>
    <t>DS-023</t>
  </si>
  <si>
    <t>MEPS</t>
  </si>
  <si>
    <t>AHRQ MEPS Public Use Files (Medical Expenditure Panel Survey)</t>
  </si>
  <si>
    <t>https://meps.ahrq.gov/mepsweb/data_stats/download_data_files.jsp</t>
  </si>
  <si>
    <t>Health care cost, utilization, insurance, access, expenditures</t>
  </si>
  <si>
    <t>Survey; Health care utilization; Health expenditures; Health insurance; Access to care; Out-of-pocket spending; Medical providers; Employers; Health status; Chronic conditions; Prescription medicines; Disparities</t>
  </si>
  <si>
    <t>utilization; cost; expenditure; insurance; access; provider; enrollment; payment; quality; out-of-pocket spending; medical care; health services; prescription medicines; health status; chronic conditions; disparities; MEPS; AHRQ; survey</t>
  </si>
  <si>
    <t>Health care utilization; Health care costs; Health insurance coverage; Access to care; Out-of-pocket spending; Medical expenditures; Prescription medicines; Health status; Chronic disease; Health disparities</t>
  </si>
  <si>
    <t>U.S. civilian noninstitutionalized population</t>
  </si>
  <si>
    <t>1996-Present</t>
  </si>
  <si>
    <t>Annual</t>
  </si>
  <si>
    <t>Demographics; Health status; Health insurance coverage; Access to care; Health care utilization; Medical expenditures; Out-of-pocket spending; Source of payment; Office-based visits; Hospital inpatient stays; Emergency department visits; Prescription medicines; Dental visits; Home health; Medical conditions; Chronic conditions; Employment; Income; Family characteristics; Provider-reported utilization and expenditure data</t>
  </si>
  <si>
    <t>Health care utilization and cost analyses; insurance coverage studies; out-of-pocket spending research; access to care analyses; prescription drug expenditure studies; chronic disease cost burden research; health disparities research; policy evaluation; national trend analyses</t>
  </si>
  <si>
    <t>NHIS; BRFSS; NHANES; CMS Data; HCUP / HCUPnet; ACS; CDC PLACES</t>
  </si>
  <si>
    <t>Survey-based data may be subject to recall and reporting bias; public-use geography is limited; complex survey design and weights must be used; data are nationally representative but may be limited for state- or local-level analysis; variables and file structure vary by year and component.</t>
  </si>
  <si>
    <t>Open/public source; no registration required for public-use files; verify file type, survey component, documentation, codebook, weights, variance estimation guidance, and citation requirements before analysis.</t>
  </si>
  <si>
    <t>DS-024</t>
  </si>
  <si>
    <t>HCUP / HCUPnet</t>
  </si>
  <si>
    <t>AHRQ HCUP (HCUP-US)</t>
  </si>
  <si>
    <t>https://hcup-us.ahrq.gov/</t>
  </si>
  <si>
    <t>Hospital inpatient, emergency department, ambulatory surgery, cost and utilization data</t>
  </si>
  <si>
    <t>Public query tools; full datasets restricted/purchased</t>
  </si>
  <si>
    <t>Public query plus restricted/purchased</t>
  </si>
  <si>
    <t>Claims/payment/provider</t>
  </si>
  <si>
    <t>Hospital care; Inpatient care; Emergency department; Ambulatory surgery; Health care utilization; Health care costs; Charges; Quality; Outcomes; All-payer; Administrative data; Patient encounters; State databases; National databases</t>
  </si>
  <si>
    <t>utilization; cost; hospital; inpatient; emergency department; ambulatory surgery; discharge; all-payer; charges; quality; outcomes; access; readmissions; patient encounters; administrative data; NIS; KID; NEDS; NRD; SID; SEDD; SASD; HCUPnet</t>
  </si>
  <si>
    <t>Claims/payment</t>
  </si>
  <si>
    <t>Health care utilization; Hospital care; Inpatient stays; Emergency department visits; Ambulatory surgery; Readmissions; Health care costs and charges; Health care quality; Patient outcomes; Access to care</t>
  </si>
  <si>
    <t>Patients with hospital-based encounters in participating U.S. community hospitals and related care settings</t>
  </si>
  <si>
    <t>1988-Present; varies by indicator and state;</t>
  </si>
  <si>
    <t>Demographics; Diagnoses; Procedures; Hospital discharges; Inpatient stays; Emergency department visits; Ambulatory surgery encounters; Length of stay; Charges; Expected payer; Admission source; Discharge disposition; Readmissions; Hospital characteristics; Clinical classifications; Comorbidities; Quality indicators; Patient safety indicators; Outcomes</t>
  </si>
  <si>
    <t>Hospital utilization analyses; inpatient and emergency department trend studies; readmission analyses; health care cost and charge studies; quality and patient safety research; access to care analyses; payer and insurance comparisons; procedure and diagnosis trends; policy evaluation; national and state hospital care comparisons</t>
  </si>
  <si>
    <t>NIS; KID; NASS; NEDS; NRD; SID; SASD; SEDD; HCUPnet; HCUP Fast Stats</t>
  </si>
  <si>
    <t>Administrative encounter data collected for billing and discharge reporting; coding practices and payer rules may change over time; access to full databases requires purchase, training, and data use agreements; public query tools are aggregated; geography and linkage options vary by database and state; not ideal for direct clinical detail or longitudinal patient follow-up across all files.</t>
  </si>
  <si>
    <t>Public HCUP tools are available for query; full HCUP databases require application/purchase, completion of HCUP data use training, and a data use agreement; state database availability and restrictions vary by partner organization.</t>
  </si>
  <si>
    <t>Completed</t>
  </si>
  <si>
    <t>DS-025</t>
  </si>
  <si>
    <t>CMS Data</t>
  </si>
  <si>
    <t>CMS Data (CMS Data)</t>
  </si>
  <si>
    <t>https://data.cms.gov/</t>
  </si>
  <si>
    <t>Medicare, Medicaid, provider, payment, quality, enrollment, public-use files</t>
  </si>
  <si>
    <t>Open/public plus restricted files</t>
  </si>
  <si>
    <t>Open plus controlled data</t>
  </si>
  <si>
    <t>Health care utilization/cost; Medicare; Medicaid; Claims; Payment; Provider; Quality; Enrollment; Hospital; Nursing homes; Insurance; Public reporting</t>
  </si>
  <si>
    <t>claims; Medicare; Medicaid; CHIP; provider; payment; enrollment; utilization; quality; beneficiaries; hospital; nursing home; plan; marketplace; insurance; reimbursement; public use files; dashboard; synthetic claims; CMS</t>
  </si>
  <si>
    <t>Medicare; Medicaid; CHIP; Health Insurance Marketplace; Claims and payment; Provider utilization; Enrollment; Quality measures; Health care utilization; Health care costs; Hospitals; Nursing homes; Insurance coverage</t>
  </si>
  <si>
    <t>Medicare, Medicaid, CHIP, and Health Insurance Marketplace beneficiaries, enrollees, providers, plans, and health care organizations</t>
  </si>
  <si>
    <t>Beneficiary/enrollee counts; Provider identifiers; Provider characteristics; Plan characteristics; Claims/payment summaries; Utilization measures; Medicare services and procedures; Medicaid/CHIP measures; Enrollment measures; Quality measures; Hospital measures; Nursing home measures; Marketplace plan data; Geographic indicators; Year/time variables</t>
  </si>
  <si>
    <t>Medicare and Medicaid utilization analyses; provider and payment transparency; health care quality comparisons; insurance enrollment analyses; Marketplace plan research; hospital and nursing home public reporting; policy evaluation; health care access and cost analyses; dashboard development</t>
  </si>
  <si>
    <t>ResDAC; CMS Medicare Claims; MEPS; HCUP / HCUPnet; ACS; BRFSS; CDC PLACES; Healthcare.gov PUFs</t>
  </si>
  <si>
    <t>Portal includes heterogeneous datasets with different methods, years, geographies, update schedules, and suppression rules; many public files are aggregated or de-identified rather than full claims microdata; restricted CMS data may be needed for person-level claims research; verify dataset-specific documentation and licensing terms.</t>
  </si>
  <si>
    <t>Open/public portal for public-use files, dashboards, and tools; restricted CMS data may require request approval, DUA, fees, and secure access through CMS/ResDAC pathways; verify dataset-specific access tier, documentation, citation, and privacy/suppression rules.</t>
  </si>
  <si>
    <t>DS-026</t>
  </si>
  <si>
    <t>ResDAC / CMS Research Data</t>
  </si>
  <si>
    <t>ResDAC (ResDAC)</t>
  </si>
  <si>
    <t>https://resdac.org/</t>
  </si>
  <si>
    <t>Medicare and Medicaid research identifiable files and restricted data</t>
  </si>
  <si>
    <t>Medicare; Medicaid; CHIP; Claims; Enrollment; Beneficiaries; Utilization; Payment; Provider; Prescription drugs; Long-term care; Research identifiable files; Limited data sets; VRDC; Health services research</t>
  </si>
  <si>
    <t>claims; Medicare; Medicaid; CHIP; beneficiaries; enrollment; utilization; payment; provider; prescription drugs; Part D; fee-for-service; encounter data; RIF; LDS; DUA; VRDC; CCW; T-MSIS; ResDAC; CMS research data</t>
  </si>
  <si>
    <t>Medicare claims; Medicaid claims; CHIP; Enrollment; Health care utilization; Payment; Prescription drugs; Provider services; Beneficiary characteristics; Long-term care; Health services research; Policy evaluation; health equity and racial/ethnic disparities research; longitudinal beneficiary follow-up; comparative effectiveness and outcomes research</t>
  </si>
  <si>
    <t>Medicare, Medicaid, and CHIP beneficiaries represented in CMS research files</t>
  </si>
  <si>
    <t>Census Block Group</t>
  </si>
  <si>
    <t>Varies by CMS program and file type</t>
  </si>
  <si>
    <t>Annual / varies by dataset</t>
  </si>
  <si>
    <t>Beneficiary demographics; Enrollment; Eligibility; Medicare claims; Medicaid claims; CHIP claims; Encounter data; Diagnoses; Procedures; Dates of service; Provider identifiers; Place of service; Prescription drug events; Payment amounts; Utilization measures; Plan characteristics; Beneficiary summary files; Chronic conditions; Mortality indicators; Long-term care and assessment measures</t>
  </si>
  <si>
    <t>Medicare and Medicaid claims research; health care utilization and cost analyses; prescription drug utilization studies; chronic disease burden and spending analyses; policy evaluation; care patterns and provider analyses; disparities research; longitudinal beneficiary follow-up; comparative effectiveness and outcomes research</t>
  </si>
  <si>
    <t>CMS Medicare Claims; Medicaid T-MSIS Analytic Files; Medicare Current Beneficiary Survey; Chronic Conditions Warehouse; Data.CMS.gov; MEPS; HCUP / HCUPnet; ACS; CDC PLACES; BRFSS</t>
  </si>
  <si>
    <t>Restricted access requiring approved research purpose, application, DUA, fees, and secure access processes; data are complex and require claims expertise; file availability, variables, and years vary by CMS program; public-use files are aggregated</t>
  </si>
  <si>
    <t>Restricted CMS research files require a research study application, CMS DUA, and fees; VRDC access may involve annual seat, project, and storage/usage costs</t>
  </si>
  <si>
    <t>DS-027</t>
  </si>
  <si>
    <t>Healthcare.gov Public Use Files</t>
  </si>
  <si>
    <t>Healthcare.gov PUFs (data.healthcare.gov)</t>
  </si>
  <si>
    <t>https://data.healthcare.gov/public-use-files</t>
  </si>
  <si>
    <t>Marketplace plan, benefits, provider, rate, and enrollment-related public-use files</t>
  </si>
  <si>
    <t>Health Insurance Marketplace; Exchange PUFs; Insurance plans; Issuers; Providers; Premiums; Rates; Benefits; Cost sharing; Formularies; Provider networks; Service areas; Enrollment assistance</t>
  </si>
  <si>
    <t>marketplace; exchange; health insurance; plans; issuers; premiums; rates; benefits; cost sharing; formulary; provider network; service area; county; ZIP; metal level; QHP; dental plans; SHOP; Healthcare.gov</t>
  </si>
  <si>
    <t>Health Insurance Marketplace; Insurance coverage; Plan availability; Premiums and rates; Benefits and cost sharing; Provider networks; Formularies; Service areas; Enrollment assistance</t>
  </si>
  <si>
    <t>Health Insurance Marketplace plans, issuers, providers, service areas, and certified enrollment assistance organizations</t>
  </si>
  <si>
    <t>Zip Code / County</t>
  </si>
  <si>
    <t>2014–present; varies by PUF/dataset</t>
  </si>
  <si>
    <t>Plan identifiers; Issuer identifiers; Plan type; Metal level; Premiums/rates; Benefits; Cost sharing; Deductibles; Maximum out-of-pocket amounts; Formularies; Provider network URLs; Service areas; State; County; ZIP code; Plan availability; Dental plans; SHOP market indicators; Enrollment assistance organizations</t>
  </si>
  <si>
    <t>Marketplace plan availability analyses; premium and affordability studies; insurance coverage design comparisons; provider network and formulary transparency research; state and county insurance market analyses; plan benefit and cost-sharing comparisons; enrollment assistance mapping; policy evaluation</t>
  </si>
  <si>
    <t>CMS Data; Exchange PUFs; Marketplace PUFs; ACS; MEPS; BRFSS; CDC PLACES; County Health Rankings</t>
  </si>
  <si>
    <t>Plan, issuer, rate, benefit, and service area files vary by plan year and dataset; data describe Marketplace plans and issuers, not individual enrollees or claims; geographic fields vary by file; verify plan year, file type, data dictionary, and update date before analysis.</t>
  </si>
  <si>
    <t>Open/public source; no registration generally required; verify dataset-specific documentation, API/download options, citation guidance, and Marketplace PUF data dictionaries.</t>
  </si>
  <si>
    <t>DS-028</t>
  </si>
  <si>
    <t>HealthData.gov</t>
  </si>
  <si>
    <t>HHS HealthData.gov (HealthData.gov)</t>
  </si>
  <si>
    <t>https://healthdata.gov/</t>
  </si>
  <si>
    <t>Broad HHS open data catalog across agencies</t>
  </si>
  <si>
    <t>SDOH/geospatial; Health care utilization/cost; Chronic disease; Mental health; Substance use; Maternal/child health; HIV/infectious disease; Environmental exposure</t>
  </si>
  <si>
    <t>HealthData.gov; HHS Open Data; U.S. Department of Health and Human Services; Public health data; Health indicators; Healthcare utilization; Health services research; Population health; Social determinants of health (SDOH); Health disparities; Community health; Healthcare quality; Health equity; Geographic health data; Federal health datasets; Public health surveillance; Open government data</t>
  </si>
  <si>
    <t>SDOH/geospatial; Chronic disease; Maternal/child health; Mental health; Substance use; HIV/infectious disease; Health care utilization/cost; Environmental exposure</t>
  </si>
  <si>
    <t>U.S. public health and health data users</t>
  </si>
  <si>
    <t>Ongoing</t>
  </si>
  <si>
    <t>Population demographics; Health outcomes; Disease prevalence; Healthcare utilization; Healthcare quality measures; Health insurance coverage; Healthcare workforce measures; Social determinants of health (SDOH); Environmental health indicators; Maternal and child health measures; Mental health indicators; Infectious disease surveillance measures; Geographic identifiers</t>
  </si>
  <si>
    <t>Public health surveillance; Population health research; Health disparities and health equity analyses; Healthcare utilization and quality studies; Social determinants of health (SDOH) research; Geographic and spatial analyses; Health policy evaluation; Community health assessments; Program monitoring and evaluation; Exploratory data analysis and data discovery</t>
  </si>
  <si>
    <t>U.S. Census American Community Survey (ACS); CDC PLACES; County Health Rankings &amp; Roadmaps; AHRQ SDOH Database; HRSA Area Health Resources Files (AHRF); CDC/ATSDR Social Vulnerability Index (SVI); CMS Data</t>
  </si>
  <si>
    <t>HealthData.gov is a data portal rather than a single standardized dataset; Data quality, completeness, geographic coverage, and update frequency vary across datasets; Variable definitions and methodologies differ by source agency; Not all datasets are longitudinal or nationally representative; Some datasets may have suppressed, aggregated, or de-identified data; Users should review documentation for each dataset before analysis; Comparisons across datasets may require harmonization of measures and geographic units</t>
  </si>
  <si>
    <t>HealthData.gov is a public data portal managed by the U.S. Department of Health and Human Services (HHS); Governance, access policies, and licensing vary by dataset and source agency; Most datasets are publicly available, though some may have access restrictions or data use agreements; Individual-level data, when available, are typically de-identified and subject to privacy protections; Users should cite the specific dataset and source agency rather than the portal alone; Documentation, update schedules, and metadata should be reviewed for each dataset prior to use</t>
  </si>
  <si>
    <t>DS-029</t>
  </si>
  <si>
    <t>SAMHSA NSDUH</t>
  </si>
  <si>
    <t>NSDUH Data Tools (SAMHSA)</t>
  </si>
  <si>
    <t>https://www.samhsa.gov/data/data-we-collect/nsduh-national-survey-drug-use-and-health</t>
  </si>
  <si>
    <t>Substance use, mental health, treatment, tobacco, alcohol, drug use</t>
  </si>
  <si>
    <t>Substance use</t>
  </si>
  <si>
    <t>alcohol; opioid; tobacco; treatment; mental health; SDOH/geospatial; Chronic disease; Health care utilization/cost; Maternal/child health</t>
  </si>
  <si>
    <t>SAMHSA NSDUH; National Survey on Drug Use and Health; Substance use; Substance use disorder; Drug use; Alcohol use; Tobacco use; Nicotine use; Vaping; Mental health; Depression; Serious mental illness; Behavioral health; Substance use treatment; Treatment utilization; Prevention; Youth health; Population health survey; Public health surveillance; Health disparities</t>
  </si>
  <si>
    <t>Substance use; Mental health; Health care utilization/cost; Maternal/child health; SDOH/geospatial; Health disparities; Behavioral health</t>
  </si>
  <si>
    <t>civilian, noninstitutionalized population of the United States aged 12 years and older.</t>
  </si>
  <si>
    <t>National; State</t>
  </si>
  <si>
    <t>1971-Present</t>
  </si>
  <si>
    <t>Alcohol use; Tobacco/nicotine use; Vaping/e-cigarette use; Illicit drug use; Prescription drug misuse; Substance use disorder (SUD); Mental illness; Major depressive episode; Serious psychological distress; Suicidal thoughts and behaviors; Substance use treatment utilization; Perceived treatment need; Demographics; Health insurance coverage</t>
  </si>
  <si>
    <t>Substance use epidemiology; Mental health research; Behavioral health surveillance; Substance use disorder (SUD) prevalence estimation; Treatment access and utilization studies; Health disparities research; Youth and adolescent health studies; Policy evaluation; Population health surveillance; Trend analyses of substance use and mental health outcomes</t>
  </si>
  <si>
    <t>NHIS; BRFSS; CDC PLACES; SAMHSA TEDS; SAMHSA MH-CLD; U.S. Census American Community Survey (ACS); County Health Rankings &amp; Roadmaps</t>
  </si>
  <si>
    <t>Self-reported data may be subject to recall and social desirability bias; Cross-sectional design limits causal inference; Excludes some populations (e.g., unsheltered homeless individuals, active-duty military); Limited geographic detail in public-use files; Changes in survey methods and questionnaire wording may affect trend analyses; Rare behaviors or small subpopulations may have unstable estimates; Survey weights must be used for nationally representative estimates</t>
  </si>
  <si>
    <t>Publicly available survey data sponsored by the Substance Abuse and Mental Health Services Administration (SAMHSA); Individual-level public-use files are de-identified and subject to confidentiality protections; Restricted-use data with finer geographic detail require additional approvals and data use agreements; Survey weights and complex sampling design should be incorporated into analyses; Users should cite NSDUH and SAMHSA in publications; Questionnaire content and methodology may change across survey years and should be documented for longitudinal comparisons</t>
  </si>
  <si>
    <t>DS-030</t>
  </si>
  <si>
    <t>SAMHSA TEDS</t>
  </si>
  <si>
    <t>TEDS Data Files (SAMHSA)</t>
  </si>
  <si>
    <t>https://www.samhsa.gov/data/data-we-collect/teds-treatment-episode-data-set/datafiles</t>
  </si>
  <si>
    <t>Substance use treatment admissions and discharges</t>
  </si>
  <si>
    <t>Mental health; Health care utilization/cost; SDOH/geospatial; Maternal/child health</t>
  </si>
  <si>
    <t>SAMHSA TEDS; Treatment Episode Data Set; Substance use treatment; Substance use disorder (SUD); Addiction treatment; Treatment admissions; Treatment discharges; Behavioral health services; Alcohol use disorder; Drug use disorder; Opioid use disorder; Mental health; Treatment utilization; Recovery services; Public health surveillance; Healthcare access; Health disparities; Substance abuse treatment facilities</t>
  </si>
  <si>
    <t>Substance use; Mental health; Health care utilization/cost; Behavioral health; Health disparities; Treatment services; Recovery and treatment outcomes</t>
  </si>
  <si>
    <t>Individuals aged 12 and older admitted to substance use treatment facilities</t>
  </si>
  <si>
    <t>demographic, clinical and substance use characteristics of persons admitted to treatment and type service at discharge, length of stay, and reason for discharge or discontinuation of services</t>
  </si>
  <si>
    <t>Substance use treatment utilization research; Treatment access and capacity analyses; Substance use disorder (SUD) surveillance; Opioid epidemic monitoring; Behavioral health services research; Health disparities in treatment access; Program evaluation; State-level policy evaluation; Treatment outcome and discharge analyses; Trends in substance use treatment admissions over time</t>
  </si>
  <si>
    <t>SAMHSA NSDUH; SAMHSA MH-CLD; U.S. Census American Community Survey (ACS); County Health Rankings &amp; Roadmaps; CDC PLACES</t>
  </si>
  <si>
    <t>Records represent treatment episodes rather than unique individuals; Multiple admissions for the same person may be counted separately; Coverage is primarily facilities receiving public funding and may not capture all treatment providers; Variable reporting practices may differ across states; Limited clinical detail compared with EHR data; Restricted geographic detail in public-use files; Not suitable for person-level longitudinal analyses; Changes in reporting requirements over time may affect trend analyses</t>
  </si>
  <si>
    <t>Publicly available dataset maintained by SAMHSA; Data are collected from state substance use treatment systems and participating treatment facilities; Public-use files are de-identified and subject to confidentiality protections; Individual identifiers are not available, limiting linkage across admissions; Data quality and completeness may vary by state and reporting practices; Users should cite SAMHSA TEDS in publications and reports; Documentation should be reviewed for changes in reporting requirements, variable definitions, and data collection methods across years</t>
  </si>
  <si>
    <t>DS-031</t>
  </si>
  <si>
    <t>SAMHSA MH-CLD</t>
  </si>
  <si>
    <t>MH-CLD Data Files (SAMHSA)</t>
  </si>
  <si>
    <t>https://www.samhsa.gov/data/data-we-collect/mh-cld-mental-health-client-level-data/datafiles</t>
  </si>
  <si>
    <t>Mental health treatment client-level public-use data</t>
  </si>
  <si>
    <t>Mental health</t>
  </si>
  <si>
    <t>Health care utilization/cost; Substance use; SDOH/geospatial; Maternal/child health</t>
  </si>
  <si>
    <t>SAMHSA MH-CLD; Mental Health Client-Level Data; Mental health services; Behavioral health; Serious mental illness; Mental health treatment; Community mental health services; Service utilization; Mental health outcomes; Public mental health system; Behavioral health surveillance; Treatment access; Health disparities; Recovery services; Client characteristics; Mental health program evaluation; Public mental health data</t>
  </si>
  <si>
    <t>Mental health; Health care utilization/cost; Behavioral health; Substance use; Health disparities; Mental health services; Treatment outcomes and recovery</t>
  </si>
  <si>
    <t>All child and adult clients who received mental health or support services from programs operated or funded by State Mental Health Agencies (SMHAs)</t>
  </si>
  <si>
    <t>2013-Present</t>
  </si>
  <si>
    <t>Mental health diagnosis; Serious mental illness (SMI) status; Mental health service utilization; Treatment setting; Service type; Demographics (age, sex, race/ethnicity); Living situation; Employment status; Education level; Insurance coverage; Substance use involvement; Referral source; Treatment outcomes; Functional status; Criminal justice involvement</t>
  </si>
  <si>
    <t>Mental health services research; Behavioral health surveillance; Mental health treatment utilization analyses; Access to care studies; Health disparities and equity research; Program evaluation; Service system performance monitoring; Co-occurring mental health and substance use research; Population mental health assessments; State-level policy evaluation</t>
  </si>
  <si>
    <t>SAMHSA NSDUH; SAMHSA TEDS; U.S. Census American Community Survey (ACS); County Health Rankings &amp; Roadmaps; CDC PLACES</t>
  </si>
  <si>
    <t>Limited to publicly funded mental health service systems and may not capture all mental health care; Reporting practices and data completeness vary across states; Public-use files contain restricted geographic detail; Limited ability to track individuals over time; Changes in reporting requirements and variable definitions may affect longitudinal comparisons; Clinical detail is less comprehensive than EHR data; Missing data may occur for some variables and jurisdictions</t>
  </si>
  <si>
    <t>Publicly available dataset maintained by SAMHSA; Data are reported by state mental health agencies and publicly funded mental health service systems; Public-use files are de-identified and subject to confidentiality protections; Individual identifiers are removed, limiting linkage and longitudinal tracking; Data quality and completeness may vary by state and reporting practices; Users should cite SAMHSA MH-CLD in publications and reports; Documentation should be reviewed for changes in variable definitions, reporting requirements, and data collection methods across years</t>
  </si>
  <si>
    <t>DS-032</t>
  </si>
  <si>
    <t>SAMHSA Data Tools</t>
  </si>
  <si>
    <t>SAMHSA Data Tools (datatools.samhsa.gov)</t>
  </si>
  <si>
    <t>https://datatools.samhsa.gov/</t>
  </si>
  <si>
    <t>Online analysis for NSDUH, TEDS, mental health and substance use datasets</t>
  </si>
  <si>
    <t>Substance use; Health care utilization/cost; SDOH/geospatial; Maternal/child health</t>
  </si>
  <si>
    <t>SAMHSA Data Tools; Behavioral health data; Mental health; Substance use; Substance use disorder (SUD); Behavioral health surveillance; Treatment services; Mental health services; Prevention; Recovery services; Public health dashboards; Health disparities; Community behavioral health; Treatment utilization; Behavioral health indicators; Population health; Public health data tools</t>
  </si>
  <si>
    <t>Mental health; Substance use; Behavioral health; Health care utilization/cost; Health disparities; Prevention and recovery services; Community mental health</t>
  </si>
  <si>
    <t>U.S. population; individuals receiving mental health or substance use services; adolescents and adults; behavioral health populations</t>
  </si>
  <si>
    <t>Varies by tool/dataset</t>
  </si>
  <si>
    <t>Mental health indicators; Substance use prevalence; Substance use treatment utilization; Mental health service utilization; Behavioral health outcomes; Demographics; Geographic indicators; Treatment access measures; Prevention and recovery indicators; Health disparities measures; Behavioral health workforce and facility measures</t>
  </si>
  <si>
    <t>Behavioral health surveillance; Mental health and substance use trend analyses; Community needs assessments; Health disparities and equity research; Program planning and evaluation; Treatment access and utilization studies; Geographic variation analyses; Policy evaluation; Public health reporting and dashboarding; Behavioral health resource allocation</t>
  </si>
  <si>
    <t>SAMHSA NSDUH; SAMHSA TEDS; SAMHSA MH-CLD; U.S. Census American Community Survey (ACS); County Health Rankings &amp; Roadmaps</t>
  </si>
  <si>
    <t>SAMHSA Data Tools is a portal rather than a single dataset; Data sources, methodologies, and geographic coverage vary across tools; Many tools provide aggregated estimates rather than raw data; Variable definitions may differ across datasets; Some indicators are subject to suppression or small-sample limitations; Comparisons across tools may require harmonization; Update schedules and historical coverage vary by data source</t>
  </si>
  <si>
    <t>Publicly available portal maintained by SAMHSA; Aggregates data from multiple SAMHSA and partner data systems; Governance, documentation, and data quality standards vary by underlying dataset; Most tools provide aggregated, de-identified data and summary statistics; Access restrictions, data use agreements, and confidentiality protections depend on the source dataset; Users should cite the specific SAMHSA tool and underlying data source when applicable; Metadata and methodology documentation should be reviewed for each tool before analysis</t>
  </si>
  <si>
    <t>DS-033</t>
  </si>
  <si>
    <t>CDC AtlasPlus</t>
  </si>
  <si>
    <t>NCHHSTP AtlasPlus (CDC)</t>
  </si>
  <si>
    <t>https://www.cdc.gov/nchhstp/about/atlasplus.html</t>
  </si>
  <si>
    <t>HIV, viral hepatitis, STD, TB, and selected social determinants data</t>
  </si>
  <si>
    <t>HIV/infectious disease</t>
  </si>
  <si>
    <t>Substance use; SDOH/geospatial; Mental health; Maternal/child health</t>
  </si>
  <si>
    <t>CDC AtlasPlus; AtlasPlus; HIV surveillance; HIV/AIDS; Sexually transmitted infections (STIs); Sexually transmitted diseases (STDs); Viral hepatitis; Tuberculosis; Infectious disease surveillance; HIV prevalence; HIV incidence; HIV testing; HIV care continuum; Epidemiology; Public health surveillance; Health disparities; Geographic variation; County-level health data; HIV prevention; Infectious disease trends</t>
  </si>
  <si>
    <t>HIV/infectious disease; Substance use; SDOH/geospatial; Mental health; Maternal/child health</t>
  </si>
  <si>
    <t>U.S. populations affected by HIV, STIs, viral hepatitis, TB, and related SDOH indicators</t>
  </si>
  <si>
    <t>2008-Present</t>
  </si>
  <si>
    <t>HIV diagnoses; HIV prevalence; HIV incidence; HIV care continuum measures (linkage to care, retention in care, viral suppression); Sexually transmitted infection (STI) rates; Viral hepatitis cases and rates; Tuberculosis cases and rates; Testing measures; Mortality measures; Demographics (age, sex, race/ethnicity); Geographic indicators; Population-based rates</t>
  </si>
  <si>
    <t>HIV and infectious disease surveillance; Epidemiologic trend analyses; HIV care continuum research; Health disparities and equity studies; Geographic hotspot identification; Public health program planning and evaluation; HIV prevention research; STI, viral hepatitis, and tuberculosis monitoring; Resource allocation and needs assessment; Spatial epidemiology and mapping</t>
  </si>
  <si>
    <t>AIDSVu; U.S. Census American Community Survey (ACS); CDC/ATSDR Social Vulnerability Index (SVI); CDC PLACES</t>
  </si>
  <si>
    <t>Aggregated surveillance data only; No individual-level records available; Data may be suppressed for small populations or geographic areas to protect confidentiality; Reporting delays and revisions can affect recent-year estimates; Case definitions and surveillance practices may change over time; Geographic availability varies by disease and indicator; Ecological analyses may be subject to ecological fallacy and cannot infer individual-level risk</t>
  </si>
  <si>
    <t>Publicly available dashboard maintained by the CDC; Data are derived from CDC surveillance systems for HIV, STIs, viral hepatitis, and tuberculosis; Only aggregated, de-identified data are provided, with suppression rules applied to protect confidentiality; Users should cite CDC AtlasPlus and the underlying surveillance program when appropriate; Data are subject to periodic updates, revisions, and changes in case definitions; Metadata and methodology documentation should be reviewed before conducting trend or cross-jurisdiction comparisons</t>
  </si>
  <si>
    <t>DS-034</t>
  </si>
  <si>
    <t>AIDSVu</t>
  </si>
  <si>
    <t>AIDSVu (AIDSVu)</t>
  </si>
  <si>
    <t>https://aidsvu.org/</t>
  </si>
  <si>
    <t>U.S. HIV prevalence, diagnosis, PrEP, care-related maps and local indicators</t>
  </si>
  <si>
    <t>SDOH/geospatial; Health care utilization/cost; Substance use; Mental health</t>
  </si>
  <si>
    <t>AIDSVu; HIV surveillance; HIV epidemiology; HIV prevalence; HIV incidence; HIV care continuum; HIV testing; HIV prevention; HIV treatment; Viral suppression; PrEP; HIV disparities; HIV outcomes; Geographic mapping; Spatial epidemiology; Public health surveillance; HIV hotspots; Social determinants of health (SDOH); Health equity; HIV care access</t>
  </si>
  <si>
    <t>HIV/infectious disease; SDOH/geospatial; Health disparities; HIV prevention; HIV care continuum; Health care utilization/cost; Spatial epidemiology</t>
  </si>
  <si>
    <t>People living with HIV, new HIV diagnoses, PrEP users, and HIV care populations in the U.S.</t>
  </si>
  <si>
    <t>ZIP/ZCTA</t>
  </si>
  <si>
    <t>Varies by indicator; generally mid-2000s</t>
  </si>
  <si>
    <t>HIV prevalence; HIV diagnoses; HIV incidence; HIV care continuum measures (linkage to care, retention in care, viral suppression); HIV mortality; HIV testing rates; PrEP utilization; Demographics (age, sex, race/ethnicity); Geographic indicators; Population-based rates; Social determinants of health (SDOH) measures; HIV disparities indicators</t>
  </si>
  <si>
    <t>HIV epidemiology research; HIV care continuum analyses; PrEP access and utilization studies; HIV prevention planning; Health disparities and equity research; Geographic hotspot identification; Spatial epidemiology and mapping; Community needs assessments; Public health program evaluation; Resource allocation and service planning</t>
  </si>
  <si>
    <t>CDC AtlasPlus; U.S. Census American Community Survey (ACS); CDC/ATSDR Social Vulnerability Index (SVI); AHRQ SDOH Database</t>
  </si>
  <si>
    <t>Aggregated geographic data only; No individual-level records available; Data suppression may occur in small geographic areas to protect confidentiality; Geographic coverage and variable availability vary by indicator and year; Reporting delays may affect recent estimates; Measures are derived from multiple data sources with differing methodologies; Ecological analyses cannot infer individual-level risk (ecological fallacy); ZIP Code–level estimates may be unstable in areas with small populations</t>
  </si>
  <si>
    <t>Publicly available platform maintained by Emory University in collaboration with CDC and other partners; Data are derived from CDC HIV surveillance systems and other public sources; Only aggregated, de-identified data are provided, with suppression rules applied to protect confidentiality; Geographic data may be restricted or suppressed in areas with small case counts; Users should cite AIDSVu and the underlying data source(s) when appropriate; Methodology, indicator definitions, and data availability may vary by measure and year and should be reviewed prior to analysis</t>
  </si>
  <si>
    <t>DS-035</t>
  </si>
  <si>
    <t>AHEAD HIV Dashboard</t>
  </si>
  <si>
    <t>HIV.gov AHEAD (HIV.gov)</t>
  </si>
  <si>
    <t>https://www.hiv.gov/federal-response/ending-the-hiv-epidemic/dashboard</t>
  </si>
  <si>
    <t>Ending the HIV Epidemic indicators for priority jurisdictions, states, and U.S.</t>
  </si>
  <si>
    <t>HIV; Ending the HIV Epidemic; EHE; Public health surveillance; HIV diagnoses; HIV incidence; Linkage to care; Viral suppression; PrEP; SDOH; Health disparities; Dashboard</t>
  </si>
  <si>
    <t>HIV; EHE; Ending the HIV Epidemic; diagnoses; incidence; PrEP; linkage to care; viral suppression; knowledge of status; health disparities; SDOH; poverty; uninsured; housing burden; HIV stigma; county; state; priority jurisdictions; dashboard</t>
  </si>
  <si>
    <t>HIV surveillance; HIV prevention; HIV care continuum; PrEP coverage; Viral suppression; Linkage to HIV care; SDOH; Health disparities; Ending the HIV Epidemic priority jurisdictions</t>
  </si>
  <si>
    <t>U.S. populations affected by HIV, including people with diagnosed HIV, people newly diagnosed with HIV, and people eligible for HIV prevention services</t>
  </si>
  <si>
    <t>County/Zip Code</t>
  </si>
  <si>
    <t>Varies by indicator; EHE dashboard focuses on 2019–present trends</t>
  </si>
  <si>
    <t>Quarterly / varies by indicator</t>
  </si>
  <si>
    <t>HIV incidence; Knowledge of HIV status; HIV diagnoses; Linkage to HIV medical care; Viral suppression; PrEP coverage; Poverty; Unemployment; Uninsured status; Education; Median income; Housing burden; Housing instability/homelessness; HIV stigma; Age; Race/ethnicity; Sex at birth; Transmission category; State; County/jurisdiction; Year/quarter</t>
  </si>
  <si>
    <t>HIV surveillance; Ending the HIV Epidemic progress monitoring; HIV prevention planning; PrEP coverage analyses; linkage-to-care and viral suppression tracking; HIV disparities research; SDOH context for HIV outcomes; state and county HIV trend visualization</t>
  </si>
  <si>
    <t>CDC AtlasPlus; AIDSVu; CDC WONDER; BRFSS; ACS; CDC/ATSDR SVI; County Health Rankings; SC DPH</t>
  </si>
  <si>
    <t>Dashboard source rather than individual-level microdata; geographic coverage is strongest for EHE priority jurisdictions, states, and national summaries; indicators, denominators, and update timing vary; suppression or instability may affect smaller jurisdictions; use source documentation before comparing across places or time.</t>
  </si>
  <si>
    <t>Open/public dashboard; no registration required; verify indicator definitions, data methods, update date, geography level, suppression rules, and citation guidance before analysis.</t>
  </si>
  <si>
    <t>DS-036</t>
  </si>
  <si>
    <t>NCI Genomic Data Commons / TCGA</t>
  </si>
  <si>
    <t>GDC Data Portal (GDC Portal)</t>
  </si>
  <si>
    <t>https://portal.gdc.cancer.gov/</t>
  </si>
  <si>
    <t>Cancer genomics, clinical, biospecimen, molecular data including TCGA and CPTAC</t>
  </si>
  <si>
    <t>Genomics/molecular; Clinical trials; Imaging</t>
  </si>
  <si>
    <t>NCI Genomic Data Commons (GDC); TCGA; The Cancer Genome Atlas; Cancer genomics; Tumor genomics; Genomic sequencing; Somatic mutations; Gene expression; RNA sequencing; DNA methylation; Copy number variation; Molecular profiling; Cancer biomarkers; Precision oncology; Cancer biology; Multi-omics; Tumor microenvironment; Clinical annotations; Cancer outcomes; Translational cancer research</t>
  </si>
  <si>
    <t>Cancer; Genomics/molecular; Precision oncology; Cancer biology; Biomarker discovery; Translational research; Multi-omics</t>
  </si>
  <si>
    <t>Individuals with cancer whose clinical, genomic, biospecimen, and related research data have been contributed through NCI-funded and partner cancer research projects</t>
  </si>
  <si>
    <t>2006-2013, 2016-Present</t>
  </si>
  <si>
    <t>Somatic mutations; Gene expression (RNA-seq); DNA methylation; Copy number variation; miRNA expression; Protein expression; Tumor subtype; Cancer stage and grade; Survival outcomes; Treatment information; Demographics (age, sex, race/ethnicity); Biospecimen characteristics; Molecular biomarkers; Genomic alteration burden</t>
  </si>
  <si>
    <t>Cancer genomics research; Biomarker discovery; Precision oncology; Molecular subtype characterization; Survival and prognostic modeling; Multi-omics integration; Drug target identification; Tumor biology research; Translational cancer research; Machine learning and predictive modeling in oncology</t>
  </si>
  <si>
    <t>The Cancer Imaging Archive (TCIA); SEER Program; dbGaP; NCBI GEO</t>
  </si>
  <si>
    <t>Not population-representative; Primarily treatment-naïve tumor samples from selected cancer types; Sample sizes vary substantially across cancers; Limited racial, ethnic, and geographic diversity relative to the general population; Clinical data may be incomplete or inconsistently available across projects; Longitudinal follow-up is limited; Batch effects and platform differences may require normalization; Findings may not generalize to contemporary treatment populations or real-world clinical settings</t>
  </si>
  <si>
    <t>Managed by the National Cancer Institute (NCI) Genomic Data Commons (GDC); Contains both open-access and controlled-access data; Controlled-access genomic and clinical data require dbGaP authorization and adherence to NIH data use policies; Data use is governed by participant consent restrictions and NIH Genomic Data Sharing (GDS) policies; Users must comply with data security and privacy requirements for controlled data; Proper citation of GDC/TCGA and associated publications is required; Data provenance, processing pipelines, and versioning should be documented for reproducible analyses</t>
  </si>
  <si>
    <t>DS-037</t>
  </si>
  <si>
    <t>The Cancer Imaging Archive — TCIA</t>
  </si>
  <si>
    <t>TCIA (Cancer Imaging Archive)</t>
  </si>
  <si>
    <t>https://www.cancerimagingarchive.net/</t>
  </si>
  <si>
    <t>De-identified cancer imaging, radiology, pathology, linked clinical/genomic collections</t>
  </si>
  <si>
    <t>Cancer; Genomics/molecular; Clinical trials</t>
  </si>
  <si>
    <t>The Cancer Imaging Archive (TCIA); TCIA; Cancer imaging; Medical imaging; Radiology; CT imaging; MRI; PET imaging; DICOM; Radiomics; Imaging biomarkers; Quantitative imaging; Oncology imaging; Tumor imaging; Image analysis; Cancer diagnosis; Imaging-genomics; Multi-modal data; Precision oncology; Machine learning in imaging; Cancer research</t>
  </si>
  <si>
    <t>Imaging; Cancer; Radiomics; Precision oncology; Imaging biomarkers; Image analysis and machine learning; Translational cancer research</t>
  </si>
  <si>
    <t>de-identified cancer imaging data from tens of thousands of patients</t>
  </si>
  <si>
    <t>2011-Present</t>
  </si>
  <si>
    <t>Irregular/ongoing</t>
  </si>
  <si>
    <t>CT images; MRI images; PET images; DICOM metadata; Tumor segmentation masks; Radiomic features; Tumor size and volume measures; Imaging biomarkers; Cancer diagnosis and subtype; Treatment response assessments; Clinical annotations; Survival outcomes; Demographics (age, sex); Imaging acquisition parameters</t>
  </si>
  <si>
    <t>Radiomics research; Medical image analysis; Cancer diagnosis and prognosis modeling; Imaging biomarker discovery; Precision oncology; Machine learning and artificial intelligence development; Tumor segmentation and detection; Imaging-genomics integration; Treatment response assessment; Translational cancer research</t>
  </si>
  <si>
    <t>NCI Genomic Data Commons (GDC)/TCGA; SEER Program; dbGaP; NCBI GEO</t>
  </si>
  <si>
    <t>Imaging protocols and acquisition parameters vary across institutions and studies; Sample sizes differ substantially across collections and cancer types; Clinical annotations may be incomplete or inconsistent; Not population-representative; Imaging quality and preprocessing requirements vary; Longitudinal follow-up is limited in many collections; Potential batch effects and scanner-related variability can affect analyses; Machine learning studies require careful validation to avoid overfitting and dataset bias</t>
  </si>
  <si>
    <t>Publicly available repository maintained by The Cancer Imaging Archive (TCIA); Most imaging data are de-identified in accordance with HIPAA and research privacy standards; Data are distributed in DICOM format with associated metadata and collection-specific documentation; Some collections have specific data use or attribution requirements; Users should cite TCIA and the relevant collection publications; Data provenance, image preprocessing, and collection-specific protocols should be documented to support reproducibility; Linked datasets (e.g., TCGA/GDC) may be subject to additional governance and access requirements</t>
  </si>
  <si>
    <t>DS-038</t>
  </si>
  <si>
    <t>dbGaP</t>
  </si>
  <si>
    <t>NIH dbGaP (dbgap.ncbi.nlm.nih.gov)</t>
  </si>
  <si>
    <t>https://dbgap.ncbi.nlm.nih.gov/home/</t>
  </si>
  <si>
    <t>Human genotype–phenotype studies, genomic and clinical phenotype data</t>
  </si>
  <si>
    <t>Cancer; Chronic disease; Mental health; Maternal/child health; HIV/infectious disease</t>
  </si>
  <si>
    <t>dbGaP; Database of Genotypes and Phenotypes; Genomics; Genotype data; Phenotype data; Genome-wide association study (GWAS); Whole genome sequencing; Whole exome sequencing; Genetic variation; SNPs; Multi-omics; Precision medicine; Biomarkers; Genomic epidemiology; Human genetics; Genotype-phenotype associations; NIH genomic data; Translational research; Population genomics; Genetic risk factors</t>
  </si>
  <si>
    <t>Genomics/molecular; Precision medicine; Human genetics; Genetic epidemiology; Multi-omics; Biomarker discovery; Translational research</t>
  </si>
  <si>
    <t>participants enrolled in genetic, genomic, clinical, epidemiologic, and phenotype studies, contains data from millions of study participants across thousands of studies</t>
  </si>
  <si>
    <t>varies, 2007-Present</t>
  </si>
  <si>
    <t>Irregular/Ongoing</t>
  </si>
  <si>
    <t>Genotype data (SNPs); Whole genome sequencing; Whole exome sequencing; Gene expression; DNA methylation; Copy number variation; Polygenic risk scores; Disease status; Clinical outcomes; Demographics (age, sex, race/ethnicity); Biomarkers; Family history; Environmental exposures; Behavioral risk factors; Longitudinal health measures</t>
  </si>
  <si>
    <t>Genome-wide association studies (GWAS); Genotype–phenotype association analyses; Precision medicine research; Biomarker discovery; Genetic epidemiology; Multi-omics integration; Disease risk prediction; Gene–environment interaction studies; Longitudinal cohort analyses; Translational and population genomics research</t>
  </si>
  <si>
    <t>NCBI GEO; NCI Genomic Data Commons (GDC)/TCGA; The Cancer Imaging Archive (TCIA); All of Us Research Program</t>
  </si>
  <si>
    <t>Access to many datasets requires controlled-access approval and data use agreements; Study designs, populations, and variable definitions vary substantially across studies; Data harmonization across studies can be challenging; Many cohorts are not population-representative; Missing data and batch effects may affect analyses; Genetic ancestry and demographic diversity vary across studies; Computational and data storage requirements can be substantial for genomic datasets; Findings may not generalize across populations or settings</t>
  </si>
  <si>
    <t>Managed by the National Center for Biotechnology Information (NCBI) on behalf of the NIH; Most individual-level genotype and phenotype data are controlled access and require dbGaP authorization; Access is governed by participant consent restrictions, Data Access Committee (DAC) approvals, and NIH Genomic Data Sharing (GDS) policies; Users must comply with data security, privacy, and reporting requirements; Data use is limited to approved research purposes; Proper citation of dbGaP accession numbers and source studies is required; Data provenance, consent groups, and use restrictions should be documented in analyses</t>
  </si>
  <si>
    <t>DS-039</t>
  </si>
  <si>
    <t>NCBI GEO</t>
  </si>
  <si>
    <t>Gene Expression Omnibus (NCBI)</t>
  </si>
  <si>
    <t>https://www.ncbi.nlm.nih.gov/sites/GDSbrowser?acc=GDS3837</t>
  </si>
  <si>
    <t>Gene expression, transcriptomics, functional genomics datasets</t>
  </si>
  <si>
    <t>Cancer; Chronic disease; Mental health; HIV/infectious disease; Maternal/child health</t>
  </si>
  <si>
    <t>NCBI GEO; Gene Expression Omnibus; Gene expression; Transcriptomics; RNA sequencing (RNA-seq); Microarray; Functional genomics; Epigenomics; DNA methylation; Single-cell RNA sequencing; Gene regulation; Differential expression; Biomarkers; Omics data; Molecular profiling; Systems biology; Genotype–phenotype studies; Precision medicine; Bioinformatics; Translational research</t>
  </si>
  <si>
    <t>Genomics/molecular; Transcriptomics; Functional genomics; Epigenomics; Biomarker discovery; Systems biology; Translational research</t>
  </si>
  <si>
    <t>samples from a wide range of organisms, including humans, animals, plants, microbes, and cell lines</t>
  </si>
  <si>
    <t>Gene expression levels; RNA-seq counts; Microarray expression values; Differential gene expression; DNA methylation; Chromatin accessibility; miRNA expression; Single-cell transcriptomic measures; Sample characteristics; Disease status; Treatment/exposure status; Demographics (age, sex); Clinical outcomes; Experimental conditions; Molecular biomarkers</t>
  </si>
  <si>
    <t>Gene expression analysis; Biomarker discovery; Differential expression studies; Functional genomics research; Pathway and network analysis; Disease mechanism investigations; Multi-omics integration; Precision medicine research; Treatment response studies; Machine learning and predictive modeling using molecular data</t>
  </si>
  <si>
    <t>dbGaP; NCI Genomic Data Commons (GDC)/TCGA; The Cancer Imaging Archive (TCIA)</t>
  </si>
  <si>
    <t>Highly heterogeneous repository with substantial variation in study design, platforms, sample processing, and data quality; Metadata completeness and standardization vary across studies; Batch effects and platform differences often require normalization and harmonization; Many studies have small sample sizes; Clinical and demographic information may be limited; Findings may not generalize across populations or experimental conditions; Reproducibility depends on careful quality control and study-specific preprocessing</t>
  </si>
  <si>
    <t>Public repository maintained by the National Center for Biotechnology Information (NCBI); Most datasets are openly accessible, though linked controlled-access data may reside in dbGaP; Submitters are responsible for data quality, annotations, and metadata; Human subject data are generally de-identified prior to submission; Users should cite GEO accession numbers and associated publications; Data provenance, platform information, and processing methods should be documented to ensure reproducibility; Governance and consent restrictions may apply when GEO records link to external controlled-access resources</t>
  </si>
  <si>
    <t>DS-040</t>
  </si>
  <si>
    <t>PhysioNet</t>
  </si>
  <si>
    <t>PhysioNet (PhysioNet)</t>
  </si>
  <si>
    <t>https://physionet.org/</t>
  </si>
  <si>
    <t>Physiologic signals, clinical datasets, ECG, ICU, waveform, biomedical data</t>
  </si>
  <si>
    <t>Open plus credentialed access plus restricted access</t>
  </si>
  <si>
    <t>Open plus credentialed access</t>
  </si>
  <si>
    <t>Synthetic/methods</t>
  </si>
  <si>
    <t>physiological signals; ECG; ICU monitoring; waveform data; clinical databases; biomedical research; machine learning; time series analysis; digital health; open health data</t>
  </si>
  <si>
    <t>Physiologic signals</t>
  </si>
  <si>
    <t>Biomedical signal processing; Critical care; Cardiology; Clinical informatics; Machine learning; Digital health; Biomedical engineering; Health data science</t>
  </si>
  <si>
    <t>varies, 1980s-Present</t>
  </si>
  <si>
    <t>continuous/ongoing</t>
  </si>
  <si>
    <t>ECG signals; heart rate; blood pressure; respiratory rate; oxygen saturation (SpO₂); EEG signals; ICU vital signs; laboratory values; demographics; clinical outcomes</t>
  </si>
  <si>
    <t>Machine learning model development; Physiologic signal analysis; Cardiac arrhythmia detection; Critical care prediction and monitoring; Clinical decision support research; Time series forecasting; Biomedical engineering research; Digital health algorithm validation; AI benchmarking; Health data science education</t>
  </si>
  <si>
    <t>MIMIC-IV; N3C Data Enclave; All of Us Research Program; UK Biobank; Synthea</t>
  </si>
  <si>
    <t>Clinical populations may not be representative of the general population; substantial heterogeneity across datasets; limited geographic information; missing data and variable data quality; many datasets are condition- or setting-specific (e.g., ICU, cardiology); potential selection bias; requires specialized expertise for signal processing; longitudinal follow-up varies by dataset; data harmonization challenges across studies; not designed for population-level prevalence estimates</t>
  </si>
  <si>
    <t>Open-access and credentialed-access datasets; governed by PhysioNet data use agreements; de-identified human subject data; some datasets require completion of research ethics training and user credentialing; redistribution restrictions may apply; users must comply with dataset-specific licensing and citation requirements; hosted by the MIT Laboratory for Computational Physiology with oversight for responsible data sharing</t>
  </si>
  <si>
    <t>DS-041</t>
  </si>
  <si>
    <t>MIMIC-IV</t>
  </si>
  <si>
    <t>MIMIC-IV (PhysioNet)</t>
  </si>
  <si>
    <t>https://physionet.org/content/mimiciv/</t>
  </si>
  <si>
    <t>De-identified ICU, hospital, and emergency department EHR data</t>
  </si>
  <si>
    <t>Credentialed access</t>
  </si>
  <si>
    <t>Health care utilization/cost; Synthetic/methods</t>
  </si>
  <si>
    <t>critical care; ICU; electronic health records; hospital admissions; vital signs; laboratory results; medications; clinical outcomes; patient monitoring; intensive care database</t>
  </si>
  <si>
    <t>Critical care; Intensive care medicine; Clinical informatics; Health services research; Patient outcomes; Hospital medicine; Predictive analytics; Machine learning in healthcare; Digital health; Biomedical data science</t>
  </si>
  <si>
    <t>65,000+ ICU patients and over 200,000+ ED patients admitted at Beth Israel Deaconess Medical Center (BIDMC)</t>
  </si>
  <si>
    <t>Hospital/health system</t>
  </si>
  <si>
    <t>2008-2019</t>
  </si>
  <si>
    <t>ongoing/periodic</t>
  </si>
  <si>
    <t>Demographics; diagnoses (ICD codes); vital signs; laboratory results; medications; procedures; ICU interventions; comorbidities; length of stay; mortality outcomes</t>
  </si>
  <si>
    <t>Critical care outcomes research; Clinical prediction modeling; Machine learning and AI development; Risk stratification; Hospital utilization analysis; Treatment effectiveness studies; Clinical decision support research; Patient trajectory analysis; Sepsis and mortality prediction; Health services research</t>
  </si>
  <si>
    <t>PhysioNet; N3C Data Enclave; All of Us Research Program; HCUP/HCUPnet; CMS Data; Synthea</t>
  </si>
  <si>
    <t>Single academic medical center; critical care population may not generalize to broader populations; limited geographic diversity; potential missing or incomplete EHR data; changes in clinical practice over time; observational data subject to confounding and bias; de-identification may remove useful temporal details; coding and documentation variability; limited long-term follow-up outside the health system; not designed for population-representative estimates</t>
  </si>
  <si>
    <t>De-identified patient data under HIPAA Safe Harbor standards; access requires PhysioNet credentialing and completion of human subjects/research ethics training; governed by PhysioNet Data Use Agreement; no direct patient identifiers included; users must comply with data security, privacy, and publication/citation requirements; redistribution restrictions may apply; hosted and maintained through the PhysioNet platform</t>
  </si>
  <si>
    <t>DS-042</t>
  </si>
  <si>
    <t>Synthea</t>
  </si>
  <si>
    <t>Synthea (synthea.org)</t>
  </si>
  <si>
    <t>https://synthea.org/</t>
  </si>
  <si>
    <t>Synthetic patient-level EHR data for methods development and testing</t>
  </si>
  <si>
    <t>EHR/clinical; Claims/payment/provider</t>
  </si>
  <si>
    <t>synthetic health data; synthetic patients; EHR simulation; healthcare interoperability; FHIR; claims data; clinical encounters; population health modeling; health IT testing; data standards</t>
  </si>
  <si>
    <t>Synthetic data</t>
  </si>
  <si>
    <t>Health informatics; Synthetic data generation; Healthcare interoperability; EHR systems; Population health modeling; Health IT testing; Clinical informatics; Data standards and exchange; Machine learning methods; Digital health</t>
  </si>
  <si>
    <t>Synthetic patients generated by simulation models</t>
  </si>
  <si>
    <t>varies</t>
  </si>
  <si>
    <t>on demand/static</t>
  </si>
  <si>
    <t>Demographics; diagnoses; procedures; medications; laboratory results; encounters; insurance coverage; care utilization; social determinants of health; mortality and health outcomes</t>
  </si>
  <si>
    <t>Health IT system testing; EHR and FHIR interoperability development; Machine learning method development; Synthetic control and simulation studies; Education and training; Software and analytics validation; Population health modeling; Data standards testing; Clinical decision support prototyping; Privacy-preserving research and benchmarking</t>
  </si>
  <si>
    <t>MIMIC-IV; PhysioNet; N3C Data Enclave; All of Us Research Program; CMS Data; HCUP/HCUPnet</t>
  </si>
  <si>
    <t>Synthetic rather than real patient data; may not capture all complexities of real-world clinical care; disease prevalence and care patterns depend on simulation assumptions; not suitable for estimating true population rates or disparities; limited external validity for clinical effectiveness research; generated correlations may differ from real-world data; updates depend on model development and underlying assumptions; not appropriate for regulatory or epidemiologic inference without validation against real datasets</t>
  </si>
  <si>
    <t>Open-source synthetic dataset generator; contains no real patient information and therefore poses minimal privacy risk; freely available for download and reuse under open-source licensing; no human subjects approval or data use agreement typically required; supports interoperability standards such as FHIR, C-CDA, and HL7; users should cite the Synthea project and document any modifications to generated data; governance focuses on software licensing and version control rather than patient privacy protections</t>
  </si>
  <si>
    <t>DS-043</t>
  </si>
  <si>
    <t>ClinicalTrials.gov</t>
  </si>
  <si>
    <t>ClinicalTrials.gov API (ClinicalTrials.gov)</t>
  </si>
  <si>
    <t>https://clinicaltrials.gov/data-api/api</t>
  </si>
  <si>
    <t>Clinical trial registry, study design, interventions, sponsors, outcomes, locations</t>
  </si>
  <si>
    <t>Clinical trials; Trial registry; Interventions; Recruitment; Eligibility; Sponsors; Study locations; Outcomes; Conditions; Drugs; Devices; Behavioral interventions; API; Global trials</t>
  </si>
  <si>
    <t>trial; clinical trial; intervention; sponsor; recruitment; eligibility; outcomes; arms; phase; condition; drug; device; biologic; behavioral intervention; NCT ID; study location; protocol; results; API; registry</t>
  </si>
  <si>
    <t>Trial registry</t>
  </si>
  <si>
    <t>Clinical trials; Interventional studies; Observational studies; Trial recruitment; Eligibility criteria; Study outcomes; Trial locations; Sponsors/collaborators; Drug and device studies; Public trial registration</t>
  </si>
  <si>
    <t>Clinical Studies and trial records of registered patients/subjects;</t>
  </si>
  <si>
    <t>Facility/Provider</t>
  </si>
  <si>
    <t>Study/trial</t>
  </si>
  <si>
    <t>Varies by study; ClinicalTrials.gov records available from 2000s–present</t>
  </si>
  <si>
    <t>ongoing/irregular; depends on study/trial;</t>
  </si>
  <si>
    <t>NCT ID; Study title; Conditions; Interventions; Study type; Phase; Recruitment status; Eligibility criteria; Age/sex eligibility; Enrollment; Study arms/groups; Outcome measures; Sponsor/collaborators; Study locations; Facility name; City; State; Country; Start date; Completion date; Results availability; Adverse events where reported</t>
  </si>
  <si>
    <t>Clinical trial search and discovery; recruitment landscape analyses; trial availability by condition or geography; intervention and sponsor tracking; eligibility criteria review; trial outcome/result monitoring; drug/device development landscape analyses; API-based registry research; South Carolina trial availability mapping</t>
  </si>
  <si>
    <t>PubMed; ClinicalTrials.gov Results Database; FDA Drugs@FDA; OpenFDA; NIH RePORTER; BioLINCC; dbGaP; NCI Clinical Trials Search</t>
  </si>
  <si>
    <t>Registry records are study-level rather than patient-level; data quality depends on sponsor/investigator reporting; eligibility, outcomes, adverse events, and results reporting may be incomplete or inconsistent; location/geographic fields may change with API updates; API structure and fields should be verified against current documentation.</t>
  </si>
  <si>
    <t>Open/public API; no registration generally required; verify API documentation, field definitions, usage guidance, pagination, citation, and terms of use before analysi</t>
  </si>
  <si>
    <t>DS-044</t>
  </si>
  <si>
    <t>openFDA / FAERS</t>
  </si>
  <si>
    <t>openFDA Drug Event API / FAERS (OpenFDA)</t>
  </si>
  <si>
    <t>https://www.fda.gov/drugs/drug-approvals-and-databases/fda-adverse-event-reporting-system-faers-database</t>
  </si>
  <si>
    <t>Adverse drug events, medication safety, post-marketing surveillance</t>
  </si>
  <si>
    <t>Medication safety; Medical device adverse events; Adverse drug events; Pharmacovigilance; Post-marketing surveillance; Drug safety; Medication errors; Therapeutic biologics; FDA; API; Public dashboard</t>
  </si>
  <si>
    <t>adverse event; drug safety; medication safety; medical device monitoring; FAERS; openFDA; pharmacovigilance; post-marketing surveillance; medication error; side effect; drug reaction; suspect drug; concomitant drug; therapeutic failure; product quality; API; JSON</t>
  </si>
  <si>
    <t>Adverse drug events; Medication safety; Pharmacovigilance; Post-marketing surveillance; Medication errors; Drug reactions; Product quality problems; Therapeutic failures</t>
  </si>
  <si>
    <t>Patients represented in adverse event and medication error reports submitted to FDA for marketed drugs and therapeutic biologics</t>
  </si>
  <si>
    <t xml:space="preserve">Quarterly </t>
  </si>
  <si>
    <t>Safety report ID; Report receive date; Patient age; Patient sex; Patient weight; Drug products; Suspect drugs; Concomitant drugs; Indications; Route of administration; Dose information; Patient reactions; Seriousness indicators; Outcomes; Medication errors; Product quality problems; Therapeutic failures; Manufacturer report information</t>
  </si>
  <si>
    <t>Medication safety surveillance; adverse drug event signal detection; pharmacovigilance research; post-marketing drug safety monitoring; medication error analyses; drug-reaction pattern exploration; API-based safety dashboard development</t>
  </si>
  <si>
    <t>FDA FAERS Public Dashboard; Drugs@FDA; openFDA Drug Label API; FDA Complete Response Letters; FDA Orange Book; ClinicalTrials.gov</t>
  </si>
  <si>
    <t>Spontaneous adverse event reports are not medically validated and cannot establish causality or incidence; underreporting, duplicate reports, reporting bias, publicity effects, and incomplete report details may affect causal analyses; drug-reaction links are not always definitive when reports list multiple drugs and reactions; doesn't contain all or consecutive adverse events.</t>
  </si>
  <si>
    <t>Open/public FDA data source and API; no registration generally required; verify API documentation, field definitions, quarterly update timing, data lag, disclaimers, and responsible-use guidance before analysis.</t>
  </si>
  <si>
    <t>DS-045</t>
  </si>
  <si>
    <t>VAERS</t>
  </si>
  <si>
    <t>VAERS Data (vaers.hhs.gov)</t>
  </si>
  <si>
    <t>https://vaers.hhs.gov/data/datasets.html</t>
  </si>
  <si>
    <t>Vaccine adverse event reports</t>
  </si>
  <si>
    <t>Vaccine safety; Adverse events; Pharmacovigilance; Post-marketing surveillance; Immunization; CDC; FDA; Passive surveillance; MedDRA; Public health surveillance</t>
  </si>
  <si>
    <t>VAERS; vaccine; adverse event; immunization; vaccine safety; side effects; post-marketing surveillance; passive surveillance; CDC; FDA; MedDRA; vaccine lot; manufacturer; hospitalization; death; serious adverse event</t>
  </si>
  <si>
    <t>Vaccine safety; Adverse events following immunization; Immunization surveillance; Post-marketing vaccine monitoring; Serious adverse events; Medication/vaccine safety</t>
  </si>
  <si>
    <t>People of all ages with suspected adverse events reported after administration of U.S.-licensed vaccines</t>
  </si>
  <si>
    <t>1990–present</t>
  </si>
  <si>
    <t>Periodic/quarterly</t>
  </si>
  <si>
    <t>VAERS ID; Report received date; State; Age; Sex; Symptom narrative; MedDRA-coded symptoms; Vaccine type; Vaccine name; Manufacturer; Vaccine lot; Dose series; Vaccination route; Vaccination site; Vaccination date; Adverse event onset date; Days from vaccination to onset; Hospitalization; Life-threatening event; Disability; Death; Recovery status; Other medications; Current illness; Medical history; Allergies</t>
  </si>
  <si>
    <t>Vaccine safety surveillance; adverse event signal detection; post-marketing vaccine monitoring; serious adverse event review; vaccine lot/manufacturer safety exploration; descriptive analyses of reported symptoms following vaccination</t>
  </si>
  <si>
    <t>CDC WONDER; FDA FAERS; openFDA Drug Event API; CDC Immunization Data; CDC Data Portal; PubMed; ClinicalTrials.gov</t>
  </si>
  <si>
    <t>Passive surveillance data based on unverified reports; reports do not establish causality or incidence; subject to underreporting, reporting bias, duplicate/conflicting reports, incomplete information, and multiple vaccines per report; public data may not include follow-up information and should be interpreted cautiously.</t>
  </si>
  <si>
    <t>Open/public downloadable CSV files and CDC WONDER access; no identifying individual information is provided in public files; CAPTCHA may be required for downloads; verify data use guide, update date, file structure, MedDRA coding, disclaimer, and responsible-use guidance before analysis.</t>
  </si>
  <si>
    <t>DS-046</t>
  </si>
  <si>
    <t>CDC Environmental Public Health Tracking Network</t>
  </si>
  <si>
    <t>CDC Tracking Network (ephtracking.cdc.gov)</t>
  </si>
  <si>
    <t>https://ephtracking.cdc.gov/DataExplorer/</t>
  </si>
  <si>
    <t>Environmental exposures, asthma, heat, air quality, community health indicators</t>
  </si>
  <si>
    <t>Environmental health; Public health surveillance; Air quality; Heat; Climate; Water quality; Asthma; Birth defects; Cancer; Environmental justice; SDOH; Geospatial; Dashboards; Data explorer</t>
  </si>
  <si>
    <t>environment; environmental health; exposure; air quality; heat; climate; water; asthma; birth defects; cancer; environmental justice; public health; surveillance; CDC Tracking; county; census tract; ZIP code; map; dashboard; data explorer</t>
  </si>
  <si>
    <t>Environmental</t>
  </si>
  <si>
    <t>Environmental exposure; Environmental health; Air quality; Heat and climate; Water quality; Asthma; Birth defects; Cancer; Environmental justice; Public health surveillance; Community health indicators</t>
  </si>
  <si>
    <t>U.S. populations and communities represented through environmental, health, exposure, and population indicators</t>
  </si>
  <si>
    <t>Varies by indicator and geographic area</t>
  </si>
  <si>
    <t>Varies by dataset/indicator</t>
  </si>
  <si>
    <t>Environmental indicators; Exposure indicators; Air quality measures; Heat and temperature measures; Climate indicators; Water quality measures; Asthma indicators; Birth defect indicators; Cancer indicators; Environmental justice indicators; Population/demographic measures; County, census tract, state, year, and geography variables</t>
  </si>
  <si>
    <t>Environmental health surveillance; heat and climate health analyses; air pollution and asthma research; environmental justice analyses; county or tract-level exposure mapping; community health assessment; South Carolina environmental public health planning; data visualization and dashboard-based exploration</t>
  </si>
  <si>
    <t>EPA AQS; EPA Envirofacts; CDC PLACES; ACS; CDC/ATSDR SVI; County Health Rankings; CDC WONDER; SC DPH Public Health Data</t>
  </si>
  <si>
    <t>Heterogeneous indicator portal; available years, geographies, measures, and update schedules vary by topic; some outputs are aggregated dashboards/maps rather than analysis-ready microdata; finer geographic resolution may not be available for every indicator; verify metadata, definitions, suppression rules, and download/API options before analysis.</t>
  </si>
  <si>
    <t>Open/public CDC data explorer and dashboards; no registration generally required; verify indicator-specific metadata, update date, geography level, citation guidance, API/download documentation, and suppression/privacy rules.</t>
  </si>
  <si>
    <t>DS-047</t>
  </si>
  <si>
    <t>EPA Envirofacts</t>
  </si>
  <si>
    <t>EPA Envirofacts Data Downloads (US EPA)</t>
  </si>
  <si>
    <t>https://www.epa.gov/enviro/data-downloads</t>
  </si>
  <si>
    <t>Environmental facility, air, water, hazardous waste, toxic release, compliance data</t>
  </si>
  <si>
    <t>Environmental exposure</t>
  </si>
  <si>
    <t>Environmental health; EPA; Facilities; Regulated facilities; Toxic releases; Air; Water; Land; Waste; Radiation; Chemicals; TRI; FRS; SDWIS; RadNet; Geospatial; Environmental compliance</t>
  </si>
  <si>
    <t>environment; EPA; Envirofacts; facility; regulated facility; toxic release; TRI; FRS; SDWIS; RadNet; air; water; land; waste; chemicals; radiation; pollution; emissions; environmental exposure; latitude; longitude; geospatial; CSV; API</t>
  </si>
  <si>
    <t>Environmental exposure; Environmental health; Toxic releases; Regulated facilities; Air pollution; Water systems; Waste management; Radiation monitoring; Chemical releases; Environmental compliance; Geospatial facility data</t>
  </si>
  <si>
    <t>U.S. environmental facilities, regulated entities, monitoring locations, water systems, chemical release sites, and communities potentially affected by environmental activities</t>
  </si>
  <si>
    <t>Facility/provider</t>
  </si>
  <si>
    <t>Varies by dataset/program</t>
  </si>
  <si>
    <t>Facility identifiers; Facility names; Facility locations; Latitude/longitude; EPA program identifiers; Facility Registry Service data; Toxic Release Inventory measures; Chemical releases; Waste management measures; Water system indicators; Environmental radiation measures; Regulatory program classifications; Organization information; State, county, ZIP, and geography variables</t>
  </si>
  <si>
    <t>Environmental exposure mapping; regulated facility identification; toxic release and chemical exposure analyses; facility proximity studies; environmental justice research; water system and radiation monitoring analyses; South Carolina environmental health planning; linkage with SVI, ACS, PLACES, and health outcome data</t>
  </si>
  <si>
    <t>EPA AQS; EPA ECHO; EPA TRI; Facility Registry Service; SDWIS; RadNet; CDC Environmental Public Health Tracking Network; ACS; CDC/ATSDR SVI; CDC PLACES</t>
  </si>
  <si>
    <t>Heterogeneous EPA data warehouse with different program databases, definitions, years, update schedules, and data quality rules; facility/location data may be incomplete or inconsistent; exposure cannot be inferred directly from facility proximity or release records; verify program-specific metadata, update date, geocoding quality, and download/API documentation.</t>
  </si>
  <si>
    <t>Open/public EPA data downloads, geospatial files, searches, and APIs; no registration generally required; verify program-specific metadata, data refresh schedule, citation guidance, licensing/terms, and responsible-use notes before analysis.</t>
  </si>
  <si>
    <t>DS-048</t>
  </si>
  <si>
    <t>EPA Air Quality System — AQS</t>
  </si>
  <si>
    <t>EPA AQS API (aqs.epa.gov)</t>
  </si>
  <si>
    <t>https://aqs.epa.gov/aqsweb/documents/data_api.html</t>
  </si>
  <si>
    <t>Ambient air monitoring data from U.S. monitors</t>
  </si>
  <si>
    <t>SDOH/geospatial; Chronic disease</t>
  </si>
  <si>
    <t>air quality; air pollution; PM2.5; ozone; nitrogen dioxide (NO₂); sulfur dioxide (SO₂); carbon monoxide; environmental monitoring; ambient air measurements; EPA monitoring stations</t>
  </si>
  <si>
    <t>Environmental health; Air pollution exposure; Environmental epidemiology; Climate and health; Respiratory health; Cardiovascular health; Exposure assessment; Geospatial health analysis; Environmental justice; Public health surveillance</t>
  </si>
  <si>
    <t>air quality / pollution data collected by EPA, state, and municipal monitoring (2,500 monitoring stations total, 500 city forecasts)- organized by geographic units</t>
  </si>
  <si>
    <t>PM2.5 concentration; PM10 concentration; ozone (O₃); nitrogen dioxide (NO₂); sulfur dioxide (SO₂); carbon monoxide (CO); air quality index (AQI); monitoring site location; date/time of measurement; pollutant exceedance indicators</t>
  </si>
  <si>
    <t>Air pollution exposure assessment; Environmental epidemiology; Climate and health research; Environmental justice analysis; Geospatial exposure mapping; Chronic disease and respiratory health studies; Cardiovascular health research; Public health surveillance; Policy evaluation; Exposure linkage with health datasets</t>
  </si>
  <si>
    <t>CDC Environmental Public Health Tracking Network; EPA Envirofacts; ACS; CDC/ATSDR SVI; CDC PLACES; County Health Rankings &amp; Roadmaps; NHANES</t>
  </si>
  <si>
    <t>Monitoring stations are unevenly distributed geographically; limited coverage in some rural areas; exposure measurements may not reflect individual-level exposure; missing data and varying monitoring frequency across locations and pollutants; changes in monitoring methods over time; spatial interpolation may introduce uncertainty; ecological analyses are subject to ecological fallacy; pollutant coverage varies by monitoring site; not all locations have continuous long-term monitoring.</t>
  </si>
  <si>
    <t>Publicly available EPA data with no individual-level information; maintained under EPA quality assurance and quality control (QA/QC) protocols; monitoring data are submitted by federal, state, local, and tribal agencies; no special data use agreement or human subjects approval required; data are regularly updated and versioned by EPA; users should document data extraction dates and pollutant-specific methodologies when conducting analyses</t>
  </si>
  <si>
    <t>DS-049</t>
  </si>
  <si>
    <t>USDA Food Environment Atlas</t>
  </si>
  <si>
    <t>USDA Food Environment Atlas (Economic Research Service)</t>
  </si>
  <si>
    <t>https://www.ers.usda.gov/data-products/food-environment-atlas</t>
  </si>
  <si>
    <t>County food access, food stores, restaurants, assistance programs, local foods</t>
  </si>
  <si>
    <t>Food/nutrition</t>
  </si>
  <si>
    <t>SDOH/geospatial; Rurality</t>
  </si>
  <si>
    <t>food environment; food access; food deserts; nutrition; healthy food availability; grocery stores; food insecurity; SNAP participation; obesity; community food resources</t>
  </si>
  <si>
    <t>Food access; Nutrition and diet; Food insecurity; Obesity and chronic disease; Community food environment; Rural health; Social determinants of health; Health equity; Geographic access to services; Population health</t>
  </si>
  <si>
    <t>U.S. communities and resident populations represented at the county and state levels</t>
  </si>
  <si>
    <t>2006–Present (varies by indicator)</t>
  </si>
  <si>
    <t>annual/periodic</t>
  </si>
  <si>
    <t>Food access indicators; food desert status; grocery store availability; SNAP participation; farmers market access; restaurant density; food insecurity measures; obesity prevalence; physical activity indicators; household vehicle access and distance to food retailers</t>
  </si>
  <si>
    <t>Food access and food desert research; Nutrition and obesity studies; Social determinants of health analysis; Rural health research; Health equity and environmental justice studies; Community needs assessments; Geographic access to healthy foods analysis; Policy evaluation; Population health planning; Linking food environment data with health outcomes datasets</t>
  </si>
  <si>
    <t>ACS; CDC PLACES; County Health Rankings &amp; Roadmaps; AHRQ SDOH Database; CDC/ATSDR SVI; USDA Rural-Urban Continuum Codes; BRFSS</t>
  </si>
  <si>
    <t>Indicators are aggregated primarily at the county level and may mask within-county disparities; variable definitions and update schedules differ across data sources; not all measures are available for all years; some indicators are modeled or derived rather than directly observed; limited ability to assess individual-level food access or behavior; rural and urban comparisons may be affected by differing geographic contexts; temporal comparisons should account for methodology changes; not designed for causal inference</t>
  </si>
  <si>
    <t>Publicly available USDA dataset integrating indicators from multiple federal sources; contains no individual-level identifiable information; county-level aggregated data require no data use agreement or human subjects approval; users should review source-specific documentation and methodologies for individual indicators; update schedules vary by contributing dataset; data provenance should be documented when combining indicators across years or sources; citation of both the Food Environment Atlas and underlying data sources is recommended</t>
  </si>
  <si>
    <t>DS-050</t>
  </si>
  <si>
    <t>USDA Rural-Urban Continuum Codes</t>
  </si>
  <si>
    <t>USDA RUCC (Economic Research Service)</t>
  </si>
  <si>
    <t>https://www.ers.usda.gov/data-products/rural-urban-continuum-codes</t>
  </si>
  <si>
    <t>County-level rurality and metro/nonmetro classification</t>
  </si>
  <si>
    <t>Rurality</t>
  </si>
  <si>
    <t>rural-urban continuum codes; RUCC; rurality; urbanization; metropolitan status; nonmetropolitan counties; county classification; rural health; geographic classification; USDA rural indicators</t>
  </si>
  <si>
    <t>Rural health; Geographic disparities; Social determinants of health; Health services access; Population health; Health equity; Regional development; Healthcare workforce distribution; Community characteristics; Geospatial health research</t>
  </si>
  <si>
    <t>US population at community level - organized by degree of urbanization</t>
  </si>
  <si>
    <t>1974-2023</t>
  </si>
  <si>
    <t>Rural-Urban Continuum Code (RUCC); metropolitan status; nonmetropolitan status; population size category; urbanization level; adjacency to metropolitan area; county FIPS code; county name; state; rurality classification category</t>
  </si>
  <si>
    <t>Rural health research; Urban–rural disparities analysis; Health services access studies; Social determinants of health research; Geographic stratification of health outcomes; Policy evaluation; Healthcare workforce distribution analysis; Community health needs assessments; Population health research; Linking rurality measures to clinical, survey, or claims datasets</t>
  </si>
  <si>
    <t>ACS; County Health Rankings &amp; Roadmaps; AHRF; CDC PLACES; CDC/ATSDR SVI; USDA Food Environment Atlas; BRFSS</t>
  </si>
  <si>
    <t>County-level classification may mask substantial within-county variation; counties are large and heterogeneous geographic units; updated only periodically rather than annually; rurality definitions may not capture all dimensions of rural experience; not suitable for individual-level analyses; changes in county classification over time can complicate trend analyses; adjacency measures may not fully reflect access to services or healthcare resources; should be supplemented with more granular geographic measures when available</t>
  </si>
  <si>
    <t>Publicly available USDA Economic Research Service (ERS) classification system; contains no individual-level or confidential information; no data use agreement or human subjects approval required; county classifications are based on federal definitions of metropolitan and nonmetropolitan areas; periodic updates reflect changes in Census and Office of Management and Budget (OMB) metropolitan area definitions; users should document the RUCC version/year used because classifications can change between releases; appropriate citation of USDA ERS is recommended</t>
  </si>
  <si>
    <t>DS-051</t>
  </si>
  <si>
    <t>WHO Global Health Observatory</t>
  </si>
  <si>
    <t>WHO GHO (World Health Organization)</t>
  </si>
  <si>
    <t>https://www.who.int/data/gho</t>
  </si>
  <si>
    <t>Global health indicators across WHO member states</t>
  </si>
  <si>
    <t>Global health</t>
  </si>
  <si>
    <t>Chronic disease; Maternal/child health; HIV/infectious disease</t>
  </si>
  <si>
    <t>global health; international health statistics; WHO indicators; disease burden; mortality; life expectancy; maternal health; child health; infectious diseases; health systems</t>
  </si>
  <si>
    <t>Global health; Population health; Noncommunicable diseases; Infectious diseases; Maternal and child health; Mortality and life expectancy; Health systems and services; Health equity; Public health surveillance; Sustainable Development Goals (SDGs)</t>
  </si>
  <si>
    <t>Global populations represented through national and subnational health indicators</t>
  </si>
  <si>
    <t>1948-Present (varies by indicator)</t>
  </si>
  <si>
    <t>Life expectancy; mortality rates; infant mortality; maternal mortality; disease incidence and prevalence; vaccination coverage; HIV prevalence; tuberculosis incidence; health workforce indicators; health expenditure measures</t>
  </si>
  <si>
    <t>Global health comparisons; International disease surveillance; Health disparities research; Monitoring Sustainable Development Goals (SDGs); Maternal and child health studies; Infectious disease epidemiology; Noncommunicable disease research; Health systems performance assessment; Population health trend analysis; Cross-country policy evaluation</t>
  </si>
  <si>
    <t>World Bank Open Data; IHME Global Burden of Disease (GBD); OECD Health Statistics</t>
  </si>
  <si>
    <t>Data quality and completeness vary across countries; reporting standards and surveillance capacity differ internationally; some indicators are modeled or estimated rather than directly observed; time lags in reporting may affect recent years; methodology changes can impact trend comparisons; missing data are common for some countries and indicators; country-level aggregation may mask subnational disparities; cross-country comparisons should account for differences in definitions, data collection systems, and healthcare infrastructure</t>
  </si>
  <si>
    <t>Publicly available WHO data repository aggregating information from member states and international monitoring systems; contains no individual-level identifiable information; no data use agreement or human subjects approval required; indicators are subject to WHO validation, harmonization, and estimation procedures; methodologies vary by indicator and should be reviewed before analysis; updates occur regularly as new country reports become available; users should document indicator definitions, data extraction dates, and estimation methods when conducting comparative analyses; citation of WHO and the specific indicator source is recommended</t>
  </si>
  <si>
    <t>DS-052</t>
  </si>
  <si>
    <t>World Bank Open Data</t>
  </si>
  <si>
    <t>World Bank Data (World Bank Open Data)</t>
  </si>
  <si>
    <t>https://data.worldbank.org/</t>
  </si>
  <si>
    <t>Global development, population, health, economy, poverty, education indicators</t>
  </si>
  <si>
    <t>SDOH/geospatial; Environmental exposure</t>
  </si>
  <si>
    <t>World Bank indicators; international development; global health; economic indicators; poverty; population statistics; education; health expenditure; environment; country-level data</t>
  </si>
  <si>
    <t>Global development; Global health; Population and demographics; Poverty and inequality; Economic development; Education; Environment and climate; Social determinants of health; Health systems and financing; Sustainable Development Goals (SDGs)</t>
  </si>
  <si>
    <t>National populations, economies, and development systems worldwide</t>
  </si>
  <si>
    <t>1960–Present (varies by indicator)</t>
  </si>
  <si>
    <t>ongoing/annual</t>
  </si>
  <si>
    <t>Population size; GDP per capita; poverty rates; life expectancy; mortality rates; health expenditure; education attainment; unemployment rate; fertility rate; CO₂ emissions and environmental indicators</t>
  </si>
  <si>
    <t>Cross-country comparisons; Global health research; Economic and social determinants of health analysis; Development policy evaluation; Population health trend analysis; Sustainable Development Goals (SDG) monitoring; Health systems financing research; Poverty and inequality studies; Environmental and climate-health research; International benchmarking and forecasting</t>
  </si>
  <si>
    <t>WHO Global Health Observatory; IHME Global Burden of Disease (GBD); OECD Health Statistics</t>
  </si>
  <si>
    <t>Data quality and completeness vary across countries; indicator definitions and collection methods may differ between countries and over time; missing data are common for some countries and years; many indicators are modeled or estimated rather than directly measured; reporting lags can affect recent-year data availability; country-level aggregation masks within-country disparities; methodological revisions may affect trend analyses; causal inference is limited when using aggregate ecological data</t>
  </si>
  <si>
    <t>Publicly available data compiled by the World Bank from national statistical agencies and international organizations; contains no individual-level identifiable information; no data use agreement or human subjects approval required; most data are provided under the World Bank Open Data Terms of Use; indicators undergo harmonization and quality review but remain subject to source-specific methodologies; users should document indicator definitions, data extraction dates, and version updates; citation of both the World Bank and original data providers is recommended when applicable</t>
  </si>
  <si>
    <t>DS-053</t>
  </si>
  <si>
    <t>IHME Global Burden of Disease — GBD</t>
  </si>
  <si>
    <t>GBD Results Tool (Health Data)</t>
  </si>
  <si>
    <t>https://www.healthdata.org/data-tools-practices/interactive-visuals/gbd-results</t>
  </si>
  <si>
    <t>Global, national, and subnational disease burden, mortality, risk factor estimates</t>
  </si>
  <si>
    <t>Open/public with terms</t>
  </si>
  <si>
    <t>Chronic disease; HIV/infectious disease; Mental health</t>
  </si>
  <si>
    <t>global burden of disease; mortality; disability-adjusted life years (DALYs); years of life lost (YLLs); years lived with disability (YLDs); risk factors; disease burden; health metrics; life expectancy; population health estimates</t>
  </si>
  <si>
    <t>Global health; Disease burden; Mortality and survival; Noncommunicable diseases; Infectious diseases; Mental health; Risk factor epidemiology; Population health; Health disparities; Health metrics and outcomes research</t>
  </si>
  <si>
    <t>Global populations represented through disease, injury, mortality, and risk-factor estimates</t>
  </si>
  <si>
    <t>1990-Present</t>
  </si>
  <si>
    <t>Mortality rates; life expectancy; disability-adjusted life years (DALYs); years of life lost (YLLs); years lived with disability (YLDs); disease prevalence; disease incidence; risk factor exposure; attributable burden estimates; healthy life expectancy (HALE)</t>
  </si>
  <si>
    <t>Global disease burden assessment; Cross-country health comparisons; Population health trend analysis; Risk factor attribution studies; Health disparities research; Health policy and planning; Resource allocation and priority setting; Monitoring Sustainable Development Goals (SDGs); Epidemiologic modeling; Evaluation of health interventions and outcomes</t>
  </si>
  <si>
    <t>WHO Global Health Observatory; World Bank Open Data; OECD Health Statistics</t>
  </si>
  <si>
    <t>Many estimates are modeled rather than directly observed; data quality varies substantially across countries and time periods; uncertainty intervals should be considered when interpreting results; methodology changes between GBD releases can affect trend comparisons; country-level estimates may mask subnational disparities; results depend on assumptions used in statistical modeling and data harmonization; estimates may differ from national surveillance statistics; causal inference is limited when using aggregated burden estimates</t>
  </si>
  <si>
    <t>Publicly available data and estimates produced by the Institute for Health Metrics and Evaluation (IHME); contains no individual-level identifiable information; no data use agreement or human subjects approval required for accessing published estimates; estimates are generated through standardized modeling, data harmonization, and statistical adjustment procedures using multiple source datasets; methods, uncertainty intervals, and revisions are documented and updated with each GBD release; users should document the specific GBD version/year used because estimates may change between releases; citation of IHME and the relevant GBD study is required</t>
  </si>
  <si>
    <t>DS-054</t>
  </si>
  <si>
    <t>OECD Health Statistics</t>
  </si>
  <si>
    <t>OECD Health Statistics (OECD)</t>
  </si>
  <si>
    <t>https://www.oecd.org/en/data/datasets/oecd-health-statistics.html</t>
  </si>
  <si>
    <t>Comparable health system, health spending, utilization, outcomes across OECD countries</t>
  </si>
  <si>
    <t>Health systems; International comparisons; Health expenditure; Health care utilization; Health workforce; Health care quality; Health coverage; Long-term care; Risk factors; Pharmaceutical market</t>
  </si>
  <si>
    <t>global; international; OECD; country; health systems; health expenditure; financing; utilization; quality; workforce; life expectancy; mortality; health coverage; long-term care; risk factors; tobacco; alcohol; obesity; pharmaceutical; comparative health statistics</t>
  </si>
  <si>
    <t>Health systems; Health expenditure and financing; Health status; Health care resources; Health care utilization; Health care quality; Pharmaceutical market; Health coverage; Long-term care; Risk factors</t>
  </si>
  <si>
    <t>Populations of OECD member and partner countries represented through national health and health system indicators</t>
  </si>
  <si>
    <t>Varies by indicator and country; many indicators available from 1960–present</t>
  </si>
  <si>
    <t>Life expectancy; Mortality; Morbidity; Health expenditure; Health financing; Health care utilization; Hospital beds; Physicians; Nurses; Health workforce; Health care quality indicators; Pharmaceutical consumption and sales; Health insurance coverage; Long-term care indicators; Tobacco use; Alcohol use; Obesity; Country; Year</t>
  </si>
  <si>
    <t>International health system comparisons; cross-country health expenditure analyses; health care utilization and quality benchmarking; population health trend analyses; health workforce comparisons; pharmaceutical market comparisons; health policy evaluation; global comparative health research</t>
  </si>
  <si>
    <t>WHO Global Health Observatory; World Bank Open Data; IHME Global Burden of Disease; Eurostat; UN Population Division</t>
  </si>
  <si>
    <t>Country-level aggregate data only; definitions, reporting practices, and availability vary by country and indicator; not suitable for South Carolina-specific or individual-level analyses; cross-country comparisons require careful review of OECD metadata and source notes.</t>
  </si>
  <si>
    <t>Open/public OECD data source; verify indicator definitions, country coverage, metadata, update date, citation guidance, and OECD terms of use before analysis</t>
  </si>
  <si>
    <t>DS-055</t>
  </si>
  <si>
    <t>South Carolina DPH Public Health Data</t>
  </si>
  <si>
    <t>SC DPH Public Health Data (SCDPH)</t>
  </si>
  <si>
    <t>https://dph.sc.gov/professionals/public-health-data</t>
  </si>
  <si>
    <t>South Carolina public health dashboards, reports, BRFSS, cancer registry, HIV/STD, overdose, vital statistics resources</t>
  </si>
  <si>
    <t>Open/public plus restricted components</t>
  </si>
  <si>
    <t>South Carolina/local data</t>
  </si>
  <si>
    <t>Public health surveillance; South Carolina/local data; Chronic disease; Infectious disease; Environmental health; Cancer; Respiratory disease; Maternal/child health; Opioids; Drug overdose; Vital statistics; Dashboards; Reports</t>
  </si>
  <si>
    <t>South Carolina; SC; DPH; public health; surveillance; dashboards; reports; chronic disease; infectious disease; cancer; opioid; overdose; respiratory disease; COVID-19; flu; RSV; environmental health; vital statistics; births; deaths; county</t>
  </si>
  <si>
    <t>South Carolina public health; Chronic disease; Infectious disease; Environmental health; Cancer; Opioid and drug trends; Maternal and child health; Vital statistics; Respiratory disease; Injury and mortality</t>
  </si>
  <si>
    <t>South Carolina residents represented in public health reports, dashboards, surveillance systems, and vital statistics</t>
  </si>
  <si>
    <t>South Carolina</t>
  </si>
  <si>
    <t>Yes; restricted for individual level;</t>
  </si>
  <si>
    <t>Varies by dashboard/report</t>
  </si>
  <si>
    <t>Public health indicators; County-level health measures; Disease surveillance measures; Birth and death statistics; Mortality indicators; Drug overdose indicators; Opioid/benzodiazepine/stimulant trends; Cancer indicators; Respiratory disease indicators; Environmental health indicators; Maternal and child health measures; Vital statistics; Reporting period; Geography variables</t>
  </si>
  <si>
    <t>South Carolina public health surveillance; county-level health profiles; opioid and overdose trend monitoring; chronic disease and respiratory disease tracking; cancer and mortality reporting; environmental health analyses; maternal and child health monitoring; local health planning and dashboard-based reporting</t>
  </si>
  <si>
    <t>SCANDHEC/SCAN; SC Vital Statistics; South Carolina Cancer Registry; SC RFA Health Statistics; CDC PLACES; BRFSS; CDC WONDER; ACS; County Health Rankings; CDC/ATSDR SVI</t>
  </si>
  <si>
    <t>Public outputs are generally aggregated and may suppress small cells; restricted individual-level or confidential data require formal application, review, IRB approval, and possible fees; availability and access rules vary by topic/program.</t>
  </si>
  <si>
    <t>Open/public dashboards and reports available; restricted/confidential data require SCCCR research data request application, supporting documents, CCACSS review, DPH IRB review, and possible fees; confidential fields may include patient, physician, facility, location, and detailed date information.</t>
  </si>
  <si>
    <t>DS-056</t>
  </si>
  <si>
    <t>SCANDHEC / SC public health tables</t>
  </si>
  <si>
    <t>SCANDHEC (DHEC Applications)</t>
  </si>
  <si>
    <t>https://apps.dhec.sc.gov/Health/scan/</t>
  </si>
  <si>
    <t>User-specified South Carolina public health tables and maps, including births and other state health datasets</t>
  </si>
  <si>
    <t>Vital statistics; Births; Deaths; Pregnancy; Population; Maternal/child health; Mortality; Cancer; BRFSS; Public health surveillance; Community health; Interactive maps; Public health tables</t>
  </si>
  <si>
    <t>South Carolina; SC; DHEC; DPH; SCAN; public health; vital statistics; births; deaths; pregnancy; mortality; cancer; BRFSS; population; county; ZIP code; tables; maps; community health; health indicators</t>
  </si>
  <si>
    <t>South Carolina public health; Vital statistics; Births; Deaths; Pregnancy; Mortality; Cancer incidence and mortality; Population; Community health indicators; Health behavior data</t>
  </si>
  <si>
    <t>South Carolina residents represented in public health, vital statistics, population, and selected health indicator tables</t>
  </si>
  <si>
    <t>Varies by dataset; births 1990–2024, population 1990–2020, deaths 1990–2023</t>
  </si>
  <si>
    <t>Birth counts; Death counts; Population counts; Pregnancy-related measures; Maternal characteristics; Infant characteristics; Mortality indicators; Cancer incidence and mortality where available; BRFSS/community health indicators where available; County, region, ZIP code, year, age, race/ethnicity, sex, and selected public health indicators</t>
  </si>
  <si>
    <t>South Carolina public health surveillance; county and ZIP-level vital statistics analyses; maternal and child health monitoring; mortality trend analyses; community health assessment; local health planning; public health mapping and dashboard exploration</t>
  </si>
  <si>
    <t>SC DPH Public Health Data; SC Vital Statistics; South Carolina Cancer Registry; BRFSS; ACS; CDC PLACES; CDC WONDER; County Health Rankings</t>
  </si>
  <si>
    <t>Interactive table/map system rather than a clean bulk-download research dataset; dataset availability, years, variables, and geographies vary by module; some datasets may be disabled or unavailable; website is a little old and may be unpredictable in terms of usability</t>
  </si>
  <si>
    <t>Open/public interactive query system with confidentiality rules applied; users can generate tables, charts, maps, and downloadable/copyable outputs; password-protected access exists for users authorized to access data without confidentiality rules.</t>
  </si>
  <si>
    <t>DS-057</t>
  </si>
  <si>
    <t>SCDHHS Reports and Statistics</t>
  </si>
  <si>
    <t>SCDHHS Data &amp; Reports (SCDHHS)</t>
  </si>
  <si>
    <t>https://www.scdhhs.gov/data-and-research/reports-and-statistics</t>
  </si>
  <si>
    <t>South Carolina Medicaid enrollment and program reports</t>
  </si>
  <si>
    <t>South Carolina/local data; Medicaid; CHIP; Healthy Connections; Enrollment; Eligibility; Managed care; Providers; Health care utilization; Reports; Dashboards; Transparency</t>
  </si>
  <si>
    <t>South Carolina; SC; SCDHHS; Medicaid; Healthy Connections; CHIP; enrollment; eligibility; managed care; providers; utilization; reports; statistics; dashboard; transparency; beneficiaries; health coverage</t>
  </si>
  <si>
    <t>South Carolina Medicaid; Healthy Connections Medicaid; Medicaid enrollment; Eligibility reviews; Managed care; Provider reporting; Health care coverage; Health care utilization; Transparency reporting</t>
  </si>
  <si>
    <t>South Carolina Medicaid, CHIP, and Healthy Connections members, applicants, providers, and contracted organizations</t>
  </si>
  <si>
    <t>No for public reports; Unknown/possible for requested Medicaid data &amp; other datasets</t>
  </si>
  <si>
    <t>Varies by report/dashboard</t>
  </si>
  <si>
    <t>Quarterly/Annually; Varies by report/dashboard;</t>
  </si>
  <si>
    <t>Medicaid enrollment; Eligibility review measures; Member counts; Healthy Connections Medicaid measures; CHIP-related measures; Managed care information; Provider-related measures; Contracted organization reports; Dashboard indicators; Reporting period; South Carolina statewide statistics</t>
  </si>
  <si>
    <t>South Carolina Medicaid enrollment monitoring; Medicaid eligibility review tracking; health coverage transparency; state Medicaid program reporting; managed care and provider reporting; local health policy context; dashboard-based public reporting</t>
  </si>
  <si>
    <t>SCDHHS Medicaid Data Requests; SC RFA Health Statistics and Demographics; SCHealthData.org; CMS Data; ACS; CDC PLACES; County Health Rankings</t>
  </si>
  <si>
    <t>Open/public reports and dashboards; formal Medicaid data requests may be required for nonpublic or person-level data; verify documentation, citation guidance, reporting period, and privacy/suppression rules.</t>
  </si>
  <si>
    <t>Not ideally structured as a downloadable research data portal; no clear centralized page for bulk data or report downloads; public content appears more useful for identifying SCDHHS reports, agencies, policy updates, and state Medicaid/healthcare resources than for direct analysis; granular Medicaid data may require formal request pathways.</t>
  </si>
  <si>
    <t>Needs review</t>
  </si>
  <si>
    <t>DS-058</t>
  </si>
  <si>
    <t>SC Health Data</t>
  </si>
  <si>
    <t>SCHealthData.org (schealthdata.org)</t>
  </si>
  <si>
    <t>https://schealthdata.org/</t>
  </si>
  <si>
    <t>South Carolina hospitals, FQHCs, nursing homes, health care provider transparency data</t>
  </si>
  <si>
    <t>South Carolina/local data; Medicaid; Health care providers; Hospitals; FQHCs; Nursing homes; Provider transparency; Health care utilization; Financial measures</t>
  </si>
  <si>
    <t>South Carolina; SC; Medicaid; Healthy Connections; providers; hospitals; FQHC; nursing homes; profitability; patient visits; provider pay; transparency; SCDHHS; health care data; utilization; local health data</t>
  </si>
  <si>
    <t>South Carolina health care providers; Medicaid; Hospitals; FQHCs; Nursing homes; Provider transparency; Health care utilization; Financial performance; Patient visits; Executive compensation</t>
  </si>
  <si>
    <t>South Carolina health care providers, including hospitals, FQHCs, and nursing homes</t>
  </si>
  <si>
    <t>2014-Present</t>
  </si>
  <si>
    <t>unknown</t>
  </si>
  <si>
    <t>Provider type; Hospital measures; FQHC measures; Nursing home measures; Patient visits; Profitability; Financial indicators; Staff compensation; Medicaid-related provider information; Facility/provider characteristics; South Carolina provider transparency measures</t>
  </si>
  <si>
    <t>South Carolina health care provider transparency; hospital, FQHC, and nursing home comparisons; Medicaid provider landscape analyses; patient visit and utilization summaries; financial performance analyses; local health care access and provider capacity research</t>
  </si>
  <si>
    <t>SCDHHS Medicaid Data; SC Hospital Discharge Data; CMS Care Compare; ACS; County Health Rankings; CDC PLACES</t>
  </si>
  <si>
    <t>No clear bulk data download portal found; provider-focused transparency information may vary by source and provider type; verify available datasets, measure definitions, and reporting years before analysis.</t>
  </si>
  <si>
    <t>Open/public provider transparency source maintained by SCDHHS; verify source documentation, reporting year, partner agency attribution, and citation guidance.</t>
  </si>
  <si>
    <t>DS-060</t>
  </si>
  <si>
    <t>Daily Census Tract-Level PM2.5 Concentrations, 2016-2020</t>
  </si>
  <si>
    <t>EPA EnviroAtlas</t>
  </si>
  <si>
    <t>https://www.epa.gov/enviroatlas</t>
  </si>
  <si>
    <t>DS-062</t>
  </si>
  <si>
    <t>CDC WONDER Environmental Data</t>
  </si>
  <si>
    <t>CDC / GitHub</t>
  </si>
  <si>
    <t>Environmental data query system with place, time, and measure dimensions.</t>
  </si>
  <si>
    <t>SDOH/geospatial; Climate; Air quality; Environmental monitoring; Area-level data; Historical data</t>
  </si>
  <si>
    <t>CDC WONDER; environmental data; environmental exposure; climate; air temperature; heat index; extreme heat; heat waves; PM2.5; fine particulate matter; air pollution; land surface temperature; LST; MODIS; sunlight; solar irradiation; insolation; precipitation; rainfall; NLDAS; NASA; county-level; environmental health</t>
  </si>
  <si>
    <t>Air temperature; heat index; extreme heat; heat waves; PM2.5; outdoor air quality; land surface temperature; sunlight; solar irradiation; precipitation</t>
  </si>
  <si>
    <t>Residents of the 48 contiguous United States, represented through county-level environmental exposure measures</t>
  </si>
  <si>
    <t>Varies by dataset; 1979–2011 overall</t>
  </si>
  <si>
    <t>Static/historical; no regular refresh indicated</t>
  </si>
  <si>
    <t>Daily air temperature; minimum and maximum temperature; heat index; degree days; PM2.5 concentration; land surface temperature; sunlight/solar irradiation; precipitation; heat-wave days; date; state; county; number of observations; range; standard deviation</t>
  </si>
  <si>
    <t>Assess county-level environmental exposures; analyze heat and air-quality trends; examine associations between environmental conditions and health outcomes; identify high-exposure periods or locations; support climate and environmental health research; link county-level exposures with mortality, morbidity, hospitalization, or demographic data</t>
  </si>
  <si>
    <t>CDC WONDER mortality and natality data; CDC Environmental Public Health Tracking Network; EPA Air Quality System/AirData; EPA EnviroAtlas; NOAA climate data; U.S. Census population estimates; American Community Survey; CDC/ATSDR Social Vulnerability Index</t>
  </si>
  <si>
    <t>Historical data only, with coverage ending between 2008 and 2011 depending on the dataset; excludes Alaska, Hawaii, and most U.S. territories; measures are modeled or geographically aggregated estimates rather than individual exposures; county averages may obscure within-county variation; source resolution and methods differ across datasets; some measures have missing or sparse observations; PM2.5 values above 65 µg/m³ are truncated in the WONDER dataset; geographic coding may use older county/FIPS definitions.</t>
  </si>
  <si>
    <t>Public aggregate data for statistical reporting and analysis; users must accept CDC WONDER data-use restrictions; do not attempt to identify individuals or link data for re-identification; cite the relevant source dataset and methodology when publishing results.</t>
  </si>
  <si>
    <t>DS-063</t>
  </si>
  <si>
    <t>CDC Heat and Health Tracker</t>
  </si>
  <si>
    <t>CDC Tracking Network</t>
  </si>
  <si>
    <t>Interactive dashboard integrating local heat exposure, heat-related health outcomes, community vulnerability, and preparedness information to support extreme-heat surveillance, planning, and response.</t>
  </si>
  <si>
    <t>Public interactive dashboard; related Tracking Network data may also be accessed through maps, tables, Quick Reports, downloads, and API services.</t>
  </si>
  <si>
    <t>Climate; Extreme heat; Heat-related illness; SDOH/geospatial; Emergency preparedness; Environmental health surveillance; Community vulnerability; Area-level data</t>
  </si>
  <si>
    <t>CDC Heat and Health Tracker; extreme heat; heat exposure; heat wave; HeatRisk; heat-related illness; HRI; heat stress; emergency department visits; hospitalizations; heat-related mortality; temperature; heat index; climate projections; heat vulnerability; community preparedness; cooling resources; county; ZIP code; NSSP; National Weather Service; Heat and Health Index</t>
  </si>
  <si>
    <t>Extreme heat; heat exposure; temperature; heat index; HeatRisk forecasts; heat-related emergency department visits; heat-related hospitalizations; heat-related mortality; heat vulnerability; climate projections; community preparedness</t>
  </si>
  <si>
    <t>Residents of the United States, including populations vulnerable to heat-related health effects such as older adults, young children, pregnant people, outdoor workers, athletes, and people with chronic health conditions.</t>
  </si>
  <si>
    <t>County/Zip Code/HHS Region, depending on indicator</t>
  </si>
  <si>
    <t>Varies by indicator; includes historical, near-real-time, 7-day forecast, and future-projection data</t>
  </si>
  <si>
    <t>Ongoing; daily or near-real-time for selected measures, with periodic updates for historical and vulnerability indicators</t>
  </si>
  <si>
    <t>Daily heat-related illness ED visit rate per 100,000 ED visits; heat-related ED visits; hospitalizations; heat-related deaths; maximum and minimum temperature; heat index; extremely hot days; extreme heat events; HeatRisk category; projected daytime and nighttime temperatures; Heat and Health Index; community vulnerability and preparedness measures; county; ZIP code; HHS region; date</t>
  </si>
  <si>
    <t>Monitor current heat-related illness; identify counties and communities at elevated heat risk; compare heat exposure and health outcomes over time; assess vulnerable populations; guide heat action plans and public messaging; prioritize cooling and preparedness resources; examine associations between extreme heat and emergency health-care use; support climate adaptation planning</t>
  </si>
  <si>
    <t>CDC Environmental Public Health Tracking Network; National Syndromic Surveillance Program; National Weather Service HeatRisk; CDC Heat and Health Index; CDC/ATSDR Social Vulnerability Index; NOAA climate data; American Community Survey; CDC WONDER mortality data; EPA AirNow</t>
  </si>
  <si>
    <t>The dashboard combines indicators from multiple sources, geographic levels, time periods, and update schedules. Daily heat-related illness ED data are reported by HHS region rather than county and are based on participating National Syndromic Surveillance Program facilities. Rates may be affected by changing facility participation, health-care-seeking behavior, coding practices, and incomplete documentation of heat exposure. Hospital and mortality data may undercount heat-related outcomes when heat is not recorded as a diagnosis or cause of death. Modeled exposure and projection measures are not individual exposure estimates. Vulnerability indices are intended for area-level planning and should not be interpreted as individual risk.</t>
  </si>
  <si>
    <t>Public aggregate dashboard data. No identifiable patient-level data are displayed. Users should follow CDC Tracking Network terms, cite the specific indicator and originating data source, and avoid interpreting area-level measures as individual-level characteristics. Underlying restricted syndromic or health-record data are not directly available through this dashboard.</t>
  </si>
  <si>
    <t>DS-064</t>
  </si>
  <si>
    <t>CDC/ATSDR Environmental Justice Index (EJI)</t>
  </si>
  <si>
    <t>https://www.atsdr.cdc.gov/place-health/php/eji/index.html</t>
  </si>
  <si>
    <t>National census-tract-level index for identifying communities experiencing cumulative environmental, social, and health burdens and supporting environmental justice, health equity, resource allocation, and place-based public health research.</t>
  </si>
  <si>
    <t>Public interactive map and downloadable census-tract data in CSV, Excel, and geodatabase formats</t>
  </si>
  <si>
    <t>Environmental exposure; Health equity; Environmental justice; Social vulnerability; Community vulnerability; Climate; Built environment; Area-level data; Health disparities</t>
  </si>
  <si>
    <t>CDC ATSDR; Environmental Justice Index; EJI; environmental justice; cumulative impacts; cumulative burden; social vulnerability; environmental burden; health vulnerability; health equity; census tract; neighborhood disadvantage; air pollution; transportation barriers; housing; poverty; racial and ethnic minority status; climate burden; community vulnerability; EJI SER; Social-Environmental Ranking; HIV disparities; HIV prevention; HIV care; Ending the HIV Epidemic</t>
  </si>
  <si>
    <t>Environmental justice; cumulative environmental burden; social vulnerability; health vulnerability; air pollution; potentially hazardous and toxic sites; built environment; transportation infrastructure; water pollution; socioeconomic conditions; housing; health-care access; chronic disease burden; climate hazards; health equity</t>
  </si>
  <si>
    <t>Residents of census tracts in the continental United States, represented through community-level environmental, social, health, and climate indicators</t>
  </si>
  <si>
    <t>2022 and 2024 editions; indicator reference years vary by source</t>
  </si>
  <si>
    <t>Approximately every two years</t>
  </si>
  <si>
    <t>Overall EJI percentile rank; Social Vulnerability Module rank; Environmental Burden Module rank; Health Vulnerability Module rank; Climate Burden Module indicators; EJI Social-Environmental Ranking; domain ranks; indicator ranks; poverty; unemployment; educational attainment; housing burden; racial and ethnic minority status; lack of health insurance; air pollution; hazardous sites; transportation infrastructure; water pollution; chronic disease prevalence flags; census tract GEOID; state; county</t>
  </si>
  <si>
    <t>Identify census tracts experiencing high cumulative burden; examine geographic disparities in HIV diagnoses, linkage to care, retention, or viral suppression; characterize neighborhood conditions for people with HIV; prioritize HIV testing, prevention, care, outreach, and mobile services; assess environmental and social context surrounding HIV outcomes; support Ending the HIV Epidemic planning; identify communities for qualitative engagement; evaluate whether environmental justice burden is associated with health-service access or outcomes</t>
  </si>
  <si>
    <t>CDC National HIV Surveillance System; NCHHSTP AtlasPlus; AIDSVu; CDC Social Vulnerability Index; American Community Survey; Area Deprivation Index; EPA EJScreen; CDC PLACES; HRSA Area Health Resources Files; Ryan White HIV/AIDS Program data; Census TIGER/Line shapefiles; South Carolina HIV surveillance data</t>
  </si>
  <si>
    <t>Area-level index that does not measure individual exposure, vulnerability, HIV risk, or HIV status. Associations are ecological and should not be interpreted as causal or applied directly to individuals. EJI ranks are relative to other census tracts and do not represent absolute risk thresholds. Indicator years and source methods vary, and some estimates may have uncertainty or missing values. National percentile rankings may obscure locally important conditions. CDC/ATSDR does not recommend aggregating or averaging tract scores to counties because doing so can introduce error and conceal neighborhood variation. Avoid using the full EJI as an independent variable when studying health outcomes without considering overlap from its Health Vulnerability Module; use the Social-Environmental Ranking when appropriate.</t>
  </si>
  <si>
    <t>Public area-level data with no identifiable individual records. Researchers linking EJI data to geocoded HIV surveillance or clinical records must follow the governance, confidentiality, suppression, IRB, and data-use requirements of the HIV dataset. Do not publish maps or small-area results that could indirectly disclose individuals with HIV. Clearly distinguish tract-level contextual characteristics from individual attributes.</t>
  </si>
  <si>
    <t xml:space="preserve">NS </t>
  </si>
  <si>
    <t>DS-065</t>
  </si>
  <si>
    <t>CDC</t>
  </si>
  <si>
    <t>DS-067</t>
  </si>
  <si>
    <t>EPA AirData</t>
  </si>
  <si>
    <t>EPA</t>
  </si>
  <si>
    <t>Public portal for downloading, querying, mapping, visualizing, and summarizing recent and historical ambient air-quality measurements collected at outdoor monitoring sites across the United States.</t>
  </si>
  <si>
    <t>Public web reports, visualizations, maps, downloadable files, and API access; an API key is required for customized AQS API queries.</t>
  </si>
  <si>
    <t>Air quality; Environmental monitoring; SDOH/geospatial; Ambient air pollution; Exposure assessment; Regulatory monitoring; Area-level data; Time-series data</t>
  </si>
  <si>
    <t>EPA AirData; Air Quality System; AQS; ambient air quality; outdoor air pollution; air monitor; monitoring station; PM2.5; PM10; ozone; nitrogen dioxide; sulfur dioxide; carbon monoxide; lead; air toxics; hazardous air pollutants; volatile organic compounds; AQI; Air Quality Index; criteria pollutants; hourly air quality; daily air quality; annual air quality; monitor location; South Carolina air quality</t>
  </si>
  <si>
    <t>Ambient air quality; PM2.5; PM10; ozone; nitrogen dioxide; sulfur dioxide; carbon monoxide; lead; air toxics; hazardous air pollutants; particle speciation; Air Quality Index; meteorology; regulatory monitoring</t>
  </si>
  <si>
    <t>Residents and populations living near covered outdoor air-monitoring locations in the United States, Puerto Rico, and the U.S. Virgin Islands</t>
  </si>
  <si>
    <t>Monitoring site; county; city/CBSA; state</t>
  </si>
  <si>
    <t>Varies by pollutant and monitor; measurements extend back to 1957, with greater national consistency beginning around 1980; standard downloadable files generally available from 1990 onward</t>
  </si>
  <si>
    <t>Ongoing; AQS Data Mart updated weekly, with pre-generated files updated twice annually</t>
  </si>
  <si>
    <t>Monitor identifier; state and county FIPS codes; monitoring-site number; latitude; longitude; pollutant or parameter code; date and time; sample duration; concentration; units; arithmetic mean; daily maximum; 8-hour average; annual mean; percentiles; Air Quality Index; number of observations; data completeness; exceptional-event flags; measurement method; monitoring network; site operator; quality-assurance information; meteorological measurements</t>
  </si>
  <si>
    <t>Estimate ambient air-pollution exposure near populations or health-care facilities; evaluate short- and long-term air-quality trends; examine associations between PM2.5, ozone, or other pollutants and mortality, hospitalizations, HIV outcomes, respiratory disease, or cardiovascular disease; identify high-pollution periods and locations; compare South Carolina counties or monitoring sites; support environmental epidemiology, policy evaluation, and regulatory research</t>
  </si>
  <si>
    <t>EPA Air Quality System; AirNow; EPA EJScreen; CDC/ATSDR Environmental Justice Index; CDC Environmental Public Health Tracking Network; NOAA weather and climate data; American Community Survey; CDC PLACES; CDC WONDER mortality data; Medicare and Medicaid claims; hospital discharge data; NCHHSTP AtlasPlus; AIDSVu; South Carolina HIV surveillance data</t>
  </si>
  <si>
    <t>Monitoring sites are not evenly distributed, and monitor coverage varies by pollutant, geography, and time. Measurements represent conditions at specific outdoor locations and may not capture personal exposure, indoor exposure, or fine-scale variation between monitors. Historical comparability may be affected by monitor openings and closures, changing instruments, methods, standards, and reporting practices. Recent AirNow observations shown in some AirData tools may not yet have completed AQS quality-assurance and certification procedures. Missing observations and incomplete reporting can affect daily or annual summaries. Area-level exposure assignments may introduce spatial misclassification, especially for populations far from a monitor.</t>
  </si>
  <si>
    <t>Public environmental monitoring data with no identifiable individual records. Customized AQS API use requires registration for an API key, but does not require restricted-data approval. Researchers linking monitor data to protected health or HIV records must follow the governance, geocoding, confidentiality, suppression, IRB, and data-use requirements of the health dataset. Cite EPA AirData or AQS and document the pollutant, monitor-selection method, averaging period, quality flags, and data vintage used.</t>
  </si>
  <si>
    <t>DS-068</t>
  </si>
  <si>
    <t>EPA AQS API</t>
  </si>
  <si>
    <t>EPA / ArcGIS / Data.gov</t>
  </si>
  <si>
    <t>Same as EPA AirData</t>
  </si>
  <si>
    <t>Programmatic access method for customized retrieval of data from EPA’s Air Quality System, the same underlying monitoring repository represented by EPA AirData.</t>
  </si>
  <si>
    <t>Do not use</t>
  </si>
  <si>
    <t>DS-069</t>
  </si>
  <si>
    <t>EPA AirToxScreen</t>
  </si>
  <si>
    <t>National screening assessment that models ambient concentrations, population exposures, lifetime cancer risks, and chronic noncancer hazards associated with hazardous air pollutants to help identify pollutants, emission sources, and locations that may warrant further study.</t>
  </si>
  <si>
    <t>Public website, mapping tool, technical documentation, and downloadable national and state-level assessment files</t>
  </si>
  <si>
    <t>Air quality; Air toxics; Hazardous air pollutants; Exposure modeling; Cancer risk; Health risk screening; Environmental justice; SDOH/geospatial; Area-level data</t>
  </si>
  <si>
    <t>EPA AirToxScreen; Air Toxics Screening Assessment; air toxics; hazardous air pollutants; HAPs; modeled air pollution; ambient concentration; exposure concentration; inhalation exposure; lifetime cancer risk; cancer risk per million; noncancer hazard index; respiratory hazard; census block; census tract; emissions source; point source; mobile source; nonpoint source; background pollution; environmental health disparities</t>
  </si>
  <si>
    <t>Hazardous air pollutants; air toxics; ambient concentrations; inhalation exposure; lifetime cancer risk; respiratory noncancer hazards; point-source emissions; mobile-source emissions; nonpoint emissions; wildfire and fire emissions; background pollution; environmental health disparities</t>
  </si>
  <si>
    <t>Residents of the United States, represented through modeled population exposure to outdoor hazardous air pollutants at small-area geographic levels</t>
  </si>
  <si>
    <t>Census block; census tract; county; state, depending on assessment year and output</t>
  </si>
  <si>
    <t>Annual AirToxScreen assessments beginning with 2017; latest verified assessment year is 2020; earlier comparable NATA assessments are available separately</t>
  </si>
  <si>
    <t>Annual assessment program; releases lag the emissions year because of inventory development, modeling, review, and quality assurance</t>
  </si>
  <si>
    <t>Census block or tract identifier; state and county FIPS codes; hazardous air pollutant; modeled ambient concentration; modeled exposure concentration; lifetime cancer risk per million; respiratory hazard quotient; respiratory hazard index; emissions-source category; point-source contribution; on-road mobile contribution; nonroad mobile contribution; nonpoint-source contribution; fire contribution; biogenic contribution; secondary-formation contribution; background contribution; population; latitude; longitude</t>
  </si>
  <si>
    <t>Identify communities with elevated modeled air-toxics burdens; examine associations between long-term air-toxics exposure and HIV outcomes, cancer, respiratory disease, or cardiovascular outcomes; characterize neighborhood environmental context; prioritize areas for monitoring or detailed assessment; compare pollutant and source contributions; assess environmental-health disparities; support community-engagement and hypothesis-generation studies</t>
  </si>
  <si>
    <t>EPA National Emissions Inventory; EPA AirData/AQS; EPA EJScreen; EPA Toxics Release Inventory; EPA Risk-Screening Environmental Indicators; CDC/ATSDR Environmental Justice Index; CDC Environmental Public Health Tracking Network; American Community Survey; CDC PLACES; NCHHSTP AtlasPlus; AIDSVu; CDC National HIV Surveillance System; South Carolina HIV surveillance data</t>
  </si>
  <si>
    <t>Screening-level modeled assessment rather than direct measurement, personal-exposure assessment, regulatory determination, or site-specific risk assessment. Estimates assume long-term exposure to modeled annual-average conditions and do not characterize short-term peaks, indoor exposure, occupational exposure, ingestion pathways, or every hazardous air pollutant. Results depend on emissions inventories, meteorology, atmospheric models, toxicity values, population data, and assumptions that contain uncertainty. Fine geographic output does not imply equivalent precision because some inputs and model processes operate at coarser scales. Differences across assessment years may reflect methodological changes as well as actual emissions changes. Results should be used to identify priorities for additional investigation, not to estimate an individual's health risk.</t>
  </si>
  <si>
    <t>Public modeled area-level data with no identifiable individual records. Linking AirToxScreen results to protected HIV, clinical, claims, or surveillance data requires compliance with the confidentiality, geocoding, suppression, IRB, and data-use requirements of the health dataset. Avoid presenting modeled area-level risk as an individual exposure or diagnosis. Document the assessment year, geography, pollutant, source category, risk metric, and modeling version used.</t>
  </si>
  <si>
    <t>DS-070</t>
  </si>
  <si>
    <t>EPA National Emissions Inventory (NEI)</t>
  </si>
  <si>
    <t>https://www.epa.gov/air-emissions-inventories/national-emissions-inventory-nei</t>
  </si>
  <si>
    <t>Comprehensive national inventory of estimated air-pollutant emissions from stationary facilities, smaller area sources, on-road vehicles, off-road equipment, airports, rail, marine vessels, agriculture, and fires for emissions characterization, trend analysis, air-quality modeling, and regulatory research.</t>
  </si>
  <si>
    <t>Public webpages, downloadable inventory files, summaries, technical documentation, and online retrieval tools</t>
  </si>
  <si>
    <t>Air emissions; Air quality; Hazardous air pollutants; Criteria pollutants; Industrial facilities; Mobile sources; Fires; Source inventory; Environmental modeling; Area-level data</t>
  </si>
  <si>
    <t>EPA NEI; National Emissions Inventory; air emissions; emissions inventory; criteria pollutants; hazardous air pollutants; HAPs; PM2.5; PM10; nitrogen oxides; sulfur dioxide; carbon monoxide; volatile organic compounds; ammonia; lead; facility emissions; point sources; nonpoint sources; onroad emissions; nonroad emissions; wildfire emissions; prescribed fire; source classification code; emissions sector; county emissions</t>
  </si>
  <si>
    <t>Air-pollutant emissions; criteria pollutants; hazardous air pollutants; industrial emissions; power plants; transportation emissions; nonroad equipment; residential combustion; commercial activity; agriculture; wildfires; prescribed fires; airports; rail; marine vessels; emissions trends; air-quality modeling</t>
  </si>
  <si>
    <t>Residents of the United States and territories potentially affected by air emissions from inventoried sources</t>
  </si>
  <si>
    <t>Facility; emission unit; county; Tribal area; state, depending on source category and file</t>
  </si>
  <si>
    <t>Full triennial inventories available for multiple years from 1990 through 2020; 2023 release pending or in final publication process as of 2026; additional annual modeling platforms and emissions summaries are available for selected years</t>
  </si>
  <si>
    <t>Every three years for the full NEI; supplemental modeling platforms and trend products updated more frequently</t>
  </si>
  <si>
    <t>Inventory year; facility identifier; facility name; state and county FIPS codes; latitude; longitude; source classification code; emissions process; source sector; point, nonpoint, onroad, or nonroad category; pollutant code; pollutant name; annual emissions; emissions units; stack and release-point characteristics; control equipment; activity data; emission factor; fuel type; vehicle or equipment class; fire type; county total emissions</t>
  </si>
  <si>
    <t>Identify major air-emission sources and sectors; characterize industrial and transportation emissions near communities; compare emissions across counties or years; examine associations between area-level emissions and HIV, respiratory, cardiovascular, cancer, or hospitalization outcomes; support source-apportionment and air-quality modeling; evaluate environmental disparities; identify facilities or sectors for more detailed study</t>
  </si>
  <si>
    <t>EPA AirToxScreen; EPA AirData/AQS; EPA EJScreen; EPA Toxics Release Inventory; EPA Risk-Screening Environmental Indicators; EPA Facility Registry Service; EPA ECHO; NOAA meteorological data; American Community Survey; CDC/ATSDR Environmental Justice Index; CDC PLACES; NCHHSTP AtlasPlus; AIDSVu; South Carolina HIV surveillance data</t>
  </si>
  <si>
    <t>Emissions inventory rather than direct ambient concentration, personal exposure, or health-risk data. Values are reported or estimated using methods that vary by source category, state, pollutant, and inventory year. Nonpoint, mobile, and fire emissions are often modeled or allocated to counties and may not identify precise release locations. Reporting thresholds can exclude smaller facilities from point-source files. Differences across years may reflect methodology, reporting requirements, classification changes, or improved data rather than actual emissions changes. Annual totals do not capture short-term peaks or atmospheric transport. Emitted quantities should not be interpreted as population dose or health risk without additional exposure modeling.</t>
  </si>
  <si>
    <t>Public environmental and facility-level data with no identifiable individual health records. Linking NEI data to protected HIV, clinical, or surveillance records requires compliance with the confidentiality, geocoding, suppression, IRB, and data-use requirements of the health dataset. Researchers should document the inventory version, source category, pollutant, geographic aggregation, unit conversion, and processing decisions.</t>
  </si>
  <si>
    <t>DS-071</t>
  </si>
  <si>
    <t>EPA Toxics Release Inventory (TRI)</t>
  </si>
  <si>
    <t>https://www.epa.gov/toxics-release-inventory-tri-program</t>
  </si>
  <si>
    <t>Annual facility-level data on toxic chemical releases, waste management, off-site transfers, recycling, treatment, energy recovery, and pollution-prevention activities reported by covered industrial and federal facilities.</t>
  </si>
  <si>
    <t>Public interactive tools, maps, reports, downloadable annual files, facility records, and Envirofacts searches</t>
  </si>
  <si>
    <t>Industrial pollution; Toxic chemicals; Facility-level data; Environmental justice; Pollution prevention; Air releases; Water releases; Land disposal; Waste management; Longitudinal data</t>
  </si>
  <si>
    <t>EPA TRI; Toxics Release Inventory; toxic chemical releases; facility emissions; industrial pollution; chemical waste management; air releases; water discharges; land disposal; off-site transfers; recycling; treatment; energy recovery; pollution prevention; source reduction; TRI facility; TRIFID; Form R; Form A; EPCRA Section 313; PFAS; environmental justice; chemical exposure</t>
  </si>
  <si>
    <t>Toxic chemical releases; industrial emissions; air pollution; surface-water discharges; underground injection; land disposal; off-site waste transfers; chemical recycling; energy recovery; treatment; pollution prevention; source reduction; facility environmental performance</t>
  </si>
  <si>
    <t>Residents and communities potentially affected by toxic chemical releases and waste-management activities from covered industrial and federal facilities in the United States and territories</t>
  </si>
  <si>
    <t>Facility; ZIP code; county; state; tribal area</t>
  </si>
  <si>
    <t>1987–present; latest complete files currently include reporting year 2024, with prior-year submissions subject to revision</t>
  </si>
  <si>
    <t>Annual, with preliminary data followed by complete data and later revisions</t>
  </si>
  <si>
    <t>TRI facility identifier; facility name; parent company; street address; city; county; state; ZIP code; latitude; longitude; Tribal land indicator; NAICS industry code; chemical name; CAS number; chemical category; reporting year; on-site air releases; surface-water discharges; underground injection; land disposal; fugitive air emissions; stack air emissions; off-site transfers; recycling; energy recovery; treatment; production-related waste; one-time releases; source-reduction activities; pollution-prevention practices; receiving facility; release units</t>
  </si>
  <si>
    <t>Identify facilities and chemicals contributing to local industrial pollution; map facility proximity to communities affected by HIV or other health disparities; examine trends in releases and waste management; assess industrial and environmental-justice burdens; identify chemicals or industries for further exposure assessment; study associations between facility activity and area-level health outcomes; evaluate pollution-prevention changes over time</t>
  </si>
  <si>
    <t>EPA Risk-Screening Environmental Indicators; EPA EJScreen; EPA Facility Registry Service; EPA ECHO; EPA National Emissions Inventory; EPA AirToxScreen; EPA AirData/AQS; American Community Survey; CDC/ATSDR Environmental Justice Index; CDC PLACES; NCHHSTP AtlasPlus; AIDSVu; South Carolina HIV surveillance data</t>
  </si>
  <si>
    <t>TRI does not cover every chemical, facility, or industry sector. Facilities report only when they meet applicable industry, employee, chemical-use, and reporting thresholds. Reported release quantities are not direct measures of environmental concentration, personal exposure, dose, or health risk. Releases may be permitted and managed under environmental regulations. Facility-reported values may be estimates rather than direct measurements and can be revised after initial submission. Reporting requirements, covered chemicals, industry classifications, and estimation methods change over time. Comparing pounds across chemicals can be misleading because toxicity and environmental fate vary greatly. Dioxin and dioxin-like compounds are reported in grams, while most other chemicals are reported in pounds.</t>
  </si>
  <si>
    <t>Public facility-level environmental data with no identifiable individual health records. Researchers linking TRI facilities to protected HIV, clinical, claims, or surveillance data must follow the confidentiality, geocoding, suppression, IRB, and data-use requirements of the health dataset. Avoid interpreting proximity as confirmed exposure. Document the reporting year, data vintage, chemical universe, facility-selection criteria, distance or buffer method, units, revisions, and treatment of off-site transfers.</t>
  </si>
  <si>
    <t>DS-072</t>
  </si>
  <si>
    <t>EPA Risk-Screening Environmental Indicators (RSEI)</t>
  </si>
  <si>
    <t>https://www.epa.gov/rsei</t>
  </si>
  <si>
    <t>Screening-level model that places TRI-reported toxic chemical releases and waste-management activities into a relative health-impact context by incorporating chemical toxicity, environmental fate and transport, modeled exposure pathways, and potentially exposed populations.</t>
  </si>
  <si>
    <t>Public website, interactive EasyRSEI dashboard, downloadable model results, geographic microdata, technical documentation, and data dictionary</t>
  </si>
  <si>
    <t>Toxic chemicals; Industrial pollution; Environmental justice; Exposure modeling; Risk screening; Cancer risk; Noncancer effects; Facility-level data; Geospatial data; Longitudinal data</t>
  </si>
  <si>
    <t>EPA RSEI; Risk-Screening Environmental Indicators; EasyRSEI; RSEI Geographic Microdata; TRI risk screening; toxicity-weighted concentration; toxicity-weighted pounds; RSEI Score; RSEI Hazard; modeled exposure; industrial chemical releases; chronic health impacts; cancer effects; noncancer effects; air releases; water releases; off-site transfers; Census block group; environmental justice; facility ranking</t>
  </si>
  <si>
    <t>Toxic chemical releases; industrial pollution; modeled air exposure; modeled water exposure; chemical toxicity; environmental fate and transport; chronic cancer effects; chronic noncancer effects; population exposure; facility prioritization; environmental justice; pollution trends</t>
  </si>
  <si>
    <t>Residents of the United States potentially affected by modeled air and water pathways from TRI-reporting industrial and federal facilities</t>
  </si>
  <si>
    <t>810-meter grid cell; Census block group; census tract; ZIP code; county; facility; state, depending on product</t>
  </si>
  <si>
    <t>TRI reporting years 1988–2022 in RSEI Version 2.3.12; EasyRSEI standard dashboard emphasizes 2013–2022</t>
  </si>
  <si>
    <t>Annual model release following updated TRI reporting data; all historical years are recalculated using the latest model methodology</t>
  </si>
  <si>
    <t>TRI facility identifier; facility name; parent company; facility latitude and longitude; reporting year; chemical name; CAS number; NAICS industry; release pathway; pounds released or transferred; modeled pounds; toxicity weight; toxicity-weighted pounds; modeled air concentration; modeled water concentration; toxicity-weighted concentration; potentially exposed population; RSEI Score; cancer RSEI Score; noncancer RSEI Score; RSEI Hazard; grid-cell identifier; Census block group GEOID; census tract; ZIP code; county; state</t>
  </si>
  <si>
    <t>Prioritize facilities, chemicals, industries, or communities for further investigation; identify geographic areas with relatively high modeled industrial chemical burdens; examine associations between modeled toxic exposure and HIV outcomes or other health disparities; compare cancer- and noncancer-related screening scores; assess trends in potential chronic health impacts; evaluate environmental justice patterns; support community-engagement, hypothesis-generation, and resource-prioritization studies</t>
  </si>
  <si>
    <t>EPA Toxics Release Inventory; EPA EJScreen; EPA AirToxScreen; EPA National Emissions Inventory; EPA AirData/AQS; EPA Facility Registry Service; EPA ECHO; CDC/ATSDR Environmental Justice Index; CDC/ATSDR Social Vulnerability Index; American Community Survey; CDC PLACES; NCHHSTP AtlasPlus; AIDSVu; South Carolina HIV surveillance data</t>
  </si>
  <si>
    <t>Screening and prioritization model rather than a formal risk assessment, regulatory compliance determination, or estimate of individual health risk. Results rely on TRI reporting and therefore exclude facilities, industries, chemicals, or activities outside TRI requirements. RSEI uses simplifying and sometimes conservative assumptions when detailed exposure or toxicity information is unavailable. Scores are unitless and intended for relative comparisons, not as probabilities of illness or absolute risk values. Modeled concentrations and exposure estimates are not personal measurements. RSEI models selected air releases, water releases, transfers to publicly owned treatment works, and transfers to incineration, but does not model every TRI waste-management pathway. Facility-level scores may reflect impacts occurring away from the reporting facility, including off-site transfers. Geographic and annual comparisons should use the same RSEI model version.</t>
  </si>
  <si>
    <t>Public modeled environmental data with no identifiable individual health records. Linking RSEI results to protected HIV, clinical, claims, or surveillance data requires compliance with the confidentiality, geocoding, suppression, IRB, and data-use requirements of the health dataset. Avoid interpreting area-level scores as individual exposure or disease risk. Document the RSEI version, TRI reporting years, pathway, chemical universe, geographic product, cancer or noncancer metric, and processing decisions.</t>
  </si>
  <si>
    <t>DS-073</t>
  </si>
  <si>
    <t>EPA Enforcement and Compliance History Online (ECHO)</t>
  </si>
  <si>
    <t>https://echo.epa.gov/</t>
  </si>
  <si>
    <t>Integrated public portal for locating regulated facilities and examining environmental permits, inspections, compliance status, violations, enforcement actions, penalties, pollutant discharges, and surrounding community characteristics across major federal environmental programs.</t>
  </si>
  <si>
    <t>Public facility searches, detailed facility reports, dashboards, maps, bulk downloads, map services, and query-only web services; optional user accounts support selected notification or saved-search functions.</t>
  </si>
  <si>
    <t>Regulatory compliance; Environmental enforcement; Facility-level data; Industrial pollution; Drinking water; Wastewater; Hazardous waste; Air regulation; Environmental justice; Permits; Inspections; Longitudinal data</t>
  </si>
  <si>
    <t>EPA ECHO; Enforcement and Compliance History Online; environmental compliance; regulated facility; facility inspection; environmental violation; enforcement action; civil penalty; Clean Air Act; Clean Water Act; NPDES; Safe Drinking Water Act; RCRA; hazardous waste; discharge monitoring report; permit compliance; pollutant discharge; public water system; environmental justice; facility search</t>
  </si>
  <si>
    <t>Environmental regulation; facility compliance; permits; inspections; violations; enforcement actions; penalties; air-program compliance; wastewater and stormwater discharges; drinking-water compliance; hazardous-waste regulation; pollutant loadings; industrial facilities; community demographics</t>
  </si>
  <si>
    <t>Residents and communities located near or served by regulated facilities, public water systems, wastewater systems, hazardous-waste handlers, and other entities covered by EPA environmental programs</t>
  </si>
  <si>
    <t>Facility; public water system; permitted discharge point; county; state; watershed</t>
  </si>
  <si>
    <t>Varies by regulatory program and product; facility searches generally display five years of inspection and enforcement history, detailed facility reports provide approximately ten years, formal EPA enforcement cases may include all available years, and bulk downloads may provide additional history.</t>
  </si>
  <si>
    <t>Typically weekly, with schedules varying by contributing EPA data system</t>
  </si>
  <si>
    <t>EPA Facility Registry Service identifier; program-specific facility identifier; facility name; address; latitude; longitude; county; state; Tribal-area association; industry code; regulatory program; permit identifier; permit status; inspection or evaluation date; compliance status; quarters in noncompliance; significant noncompliance or high-priority violation flag; violation type; enforcement action; case number; penalty amount; pollutant discharge; permit limit; discharge monitoring result; public water system identifier; population served; surrounding demographic indicators</t>
  </si>
  <si>
    <t>Identify regulated facilities near communities or health-service locations; examine whether environmental violations or enforcement activity cluster in disadvantaged areas; characterize regulatory and industrial context for HIV or other health-disparities studies; assess facility inspection and compliance histories; identify wastewater discharges or drinking-water compliance concerns; compare enforcement patterns across counties or states; link facility compliance records to environmental, demographic, or health outcomes; support community-engagement and environmental-justice research</t>
  </si>
  <si>
    <t>EPA Facility Registry Service; EPA Toxics Release Inventory; EPA Risk-Screening Environmental Indicators; EPA National Emissions Inventory; EPA AirToxScreen; EPA AirData/AQS; EPA EJScreen; EPA Envirofacts; EPA Water Pollutant Loading Tool; Safe Drinking Water Information System; American Community Survey; CDC/ATSDR Environmental Justice Index; CDC PLACES; NCHHSTP AtlasPlus; AIDSVu; South Carolina HIV surveillance data</t>
  </si>
  <si>
    <t>ECHO integrates records from multiple federal, state, local, and Tribal systems whose completeness, reporting schedules, terminology, and data quality vary. A listed violation may be historical, resolved, under review, or affected by reporting lag. Absence of a violation does not establish absence of pollution or risk, and enforcement activity may partly reflect inspection frequency and regulatory priorities. Facility location does not establish personal exposure. Program coverage differs: not every facility is regulated under every statute, and not every environmental release appears in ECHO. Search pages show limited recent history, while additional years may require detailed reports or bulk downloads. Known data problems and refresh dates should be reviewed before analysis.</t>
  </si>
  <si>
    <t>Public facility- and system-level regulatory data with no identifiable individual health records. Linking ECHO information to protected HIV, clinical, claims, or surveillance data requires compliance with the confidentiality, geocoding, suppression, IRB, and data-use requirements of the health dataset. Avoid treating residence near a regulated or noncompliant facility as confirmed individual exposure. Document the regulatory program, extraction date, facility-matching method, compliance window, violation definition, enforcement status, and data vintage.</t>
  </si>
  <si>
    <t>DS-074</t>
  </si>
  <si>
    <t>EPA Facility Registry Service (FRS)</t>
  </si>
  <si>
    <t>https://www.epa.gov/frs</t>
  </si>
  <si>
    <t>Central facility-identification and geospatial registry that consolidates facility names, locations, identifiers, industrial classifications, and environmental-program affiliations from EPA, state, Tribal, and other partner systems to support facility matching and cross-dataset linkage.</t>
  </si>
  <si>
    <t>Public facility search, downloadable state and national CSV files, geospatial downloads, REST APIs, ArcGIS map services, and custom query tools; selected intergovernmental or internal services require authentication.</t>
  </si>
  <si>
    <t>SDOH/geospatial; Facility registry; Environmental regulation; Data integration; Facility identifiers; Industrial facilities; Geocoding; Cross-dataset linkage; Area-level data</t>
  </si>
  <si>
    <t>EPA FRS; Facility Registry Service; Facility Registry System; FRS Registry ID; facility identifier; environmental facility; regulated facility; facility location; facility crosswalk; facility geocoding; EPA program systems; industrial classification; NAICS; SIC; environmental interest; facility matching; environmental data integration; South Carolina facilities</t>
  </si>
  <si>
    <t>Environmental facilities; regulated sites; industrial facilities; facility identification; facility geolocation; air programs; water programs; hazardous waste; toxic releases; contaminated sites; drinking-water systems; wastewater facilities; environmental data integration</t>
  </si>
  <si>
    <t>Residents and communities located near facilities, sites, public water systems, wastewater facilities, and other locations represented in EPA or partner environmental-program systems</t>
  </si>
  <si>
    <t>Facility or site</t>
  </si>
  <si>
    <t>Current integrated facility registry; availability and historical coverage of linked program records vary by contributing system</t>
  </si>
  <si>
    <t>Continuous, weekly, biweekly, or monthly depending on the contributing program system</t>
  </si>
  <si>
    <t>FRS Registry ID; program-system identifier; facility or site name; alternate facility name; street address; mailing address; city; county; state; ZIP code; latitude; longitude; geospatial verification information; affiliated organization; environmental-program affiliation; program interest type; facility status; NAICS code and description; SIC code and description; Tribal-area information; congressional district</t>
  </si>
  <si>
    <t>Match facilities across EPA datasets; crosswalk TRI, ECHO, RCRA, Superfund, NPDES, SDWIS, AQS, and other program identifiers; geocode environmental facilities; remove duplicate facility records; identify facility types near communities or health-service locations; construct proximity measures for public-health studies; examine the distribution of regulated or environmentally relevant facilities; support reproducible environmental-data integration</t>
  </si>
  <si>
    <t>EPA ECHO; EPA Toxics Release Inventory; EPA Risk-Screening Environmental Indicators; EPA National Emissions Inventory; EPA AirToxScreen; EPA AirData/AQS; EPA Envirofacts; EPA RCRAInfo; EPA Superfund Enterprise Management System; EPA NPDES/ICIS; Safe Drinking Water Information System; American Community Survey; CDC/ATSDR Environmental Justice Index</t>
  </si>
  <si>
    <t>Facility registry and identity-resolution system rather than a direct pollution, exposure, emissions, compliance, or health-risk dataset. Presence of a facility in FRS does not establish that it is currently operating, violating regulations, releasing pollution, or creating exposure. Absence from FRS does not establish the absence of an environmental concern. Facilities may have multiple names, addresses, program identifiers, owners, or program interests. Coordinate accuracy and facility boundaries vary, and a single coordinate may not represent the location of releases or the full facility footprint. Contributing systems have different scopes, definitions, update schedules, and historical coverage. Facility records and program links should be validated before analysis.</t>
  </si>
  <si>
    <t>Public facility- and site-level environmental information with no identifiable individual health records. Public downloads exclude data designated as sensitive. Linking FRS locations to protected HIV, clinical, claims, or surveillance data requires compliance with the confidentiality, geocoding, suppression, IRB, and data-use requirements of the health dataset. Facility proximity should not be interpreted as confirmed individual exposure. Document the FRS extraction date, Registry ID matching rules, coordinate-quality criteria, program systems included, and treatment of duplicate or inactive facilities.</t>
  </si>
  <si>
    <t>DS-075</t>
  </si>
  <si>
    <t>EPA Superfund Data and Reports / NPL Sites</t>
  </si>
  <si>
    <t>Official national repository and search system for identifying active and archived Superfund sites and examining site location, National Priorities List status, contaminants, affected media, site assessment, cleanup actions, remedies, enforcement activities, and remediation progress.</t>
  </si>
  <si>
    <t>Public SEMS search, NPL site tables and maps, site profiles, downloadable reports, document collections, and separate geospatial boundary data; bulk products are distributed across multiple EPA pages and formats.</t>
  </si>
  <si>
    <t>SDOH/geospatial; Contaminated sites; Hazardous waste; Superfund; Environmental justice; Cleanup and remediation; Facility-level data; Soil contamination; Groundwater contamination; Historical data</t>
  </si>
  <si>
    <t>EPA Superfund; SEMS; Superfund Enterprise Management System; National Priorities List; NPL; CERCLA; hazardous waste site; contaminated site; cleanup site; remediation; contaminant of concern; groundwater contamination; soil contamination; sediment contamination; site assessment; Record of Decision; operable unit; Superfund Alternative Approach; environmental justice; site proximity</t>
  </si>
  <si>
    <t>Hazardous-waste sites; contaminated land; soil contamination; groundwater contamination; surface-water contamination; sediment contamination; site assessment; remediation; cleanup status; contaminants of concern; institutional controls; engineering controls; enforcement and settlements</t>
  </si>
  <si>
    <t>Residents and communities located near active, archived, proposed, final, or deleted Superfund and related hazardous-waste sites in the United States and territories</t>
  </si>
  <si>
    <t>Superfund site; facility; site boundary; county; state</t>
  </si>
  <si>
    <t>1983–present in SEMS; selected historical CERCLIS records and Superfund actions extend to earlier program years</t>
  </si>
  <si>
    <t>Ongoing; update schedule varies by SEMS product, report, and site record</t>
  </si>
  <si>
    <t>SEMS EPA ID; site name; alternate site name; address; city; county; state; ZIP code; latitude; longitude; FIPS code; EPA region; federal-facility indicator; NPL status; non-NPL status; archived status; proposed, listing, deletion, and action dates; contaminant name; affected environmental medium; operable unit; cleanup action; remedy decision; institutional or engineering control; enforcement or settlement information</t>
  </si>
  <si>
    <t>Identify contaminated sites near communities, residential areas, or health-service locations; construct Superfund-site proximity measures; examine whether HIV or other health disparities cluster near hazardous-waste sites; characterize contaminant and affected-media profiles; study cleanup and remediation timelines; assess environmental-justice patterns; identify sites for detailed document or exposure review</t>
  </si>
  <si>
    <t>EPA Facility Registry Service; EPA ECHO; EPA EJScreen; CDC/ATSDR Environmental Justice Index; EPA Toxics Release Inventory; EPA Risk-Screening Environmental Indicators; EPA RCRAInfo; EPA Cleanups in My Community; American Community Survey; Census TIGER/Line; South Carolina environmental cleanup data</t>
  </si>
  <si>
    <t>SEMS is an administrative site-assessment and remediation system rather than a standardized exposure or health-risk dataset. Inclusion of a site does not establish that nearby residents were exposed or that current contamination remains. Site status, contaminants, affected media, coordinates, and boundaries may change as investigations proceed. Data completeness varies by site and cleanup stage. NPL sites represent only a subset of contaminated or hazardous-waste locations. A point coordinate may not represent the full contaminated area, while boundary data are unavailable for some sites. Reports and extracts use different formats and may require substantial cleaning and reconciliation.</t>
  </si>
  <si>
    <t>Public site- and area-level environmental information with no identifiable individual health records. Linking site locations to protected HIV, clinical, claims, or surveillance data requires compliance with the confidentiality, geocoding, suppression, IRB, and data-use requirements of the health dataset. Site proximity must not be interpreted as confirmed personal exposure. Document the SEMS extraction date, NPL-status definition, site inclusion criteria, coordinate or boundary source, distance method, and treatment of archived or deleted sites.</t>
  </si>
  <si>
    <t>DS-076</t>
  </si>
  <si>
    <t>EnviroAtlas for Brownfields</t>
  </si>
  <si>
    <t>https://epa.maps.arcgis.com/home/item.html?id=e5f95175f9184d508be636377796f1c2</t>
  </si>
  <si>
    <t>Curated collection of national geospatial layers supporting Brownfields grant applications, community assessment, cleanup planning, redevelopment, environmental justice analysis, and evaluation of environmental, demographic, health, infrastructure, and community conditions surrounding Brownfields projects.</t>
  </si>
  <si>
    <t>Public ArcGIS web map and EnviroAtlas Interactive Map collection; underlying map layers can be viewed and, depending on the individual service, queried or downloaded.</t>
  </si>
  <si>
    <t>Brownfields; Environmental exposure; Environmental justice; Community vulnerability; Land revitalization; Demographics; Health indicators; Ecosystem services; Infrastructure; Grant planning</t>
  </si>
  <si>
    <t>EnviroAtlas for Brownfields; EPA Brownfields; Brownfields Featured Collection; brownfield redevelopment; contaminated properties; environmental justice; community vulnerability; grant application; land revitalization; demographic indicators; environmental indicators; health indicators; ecosystem services; ACRES; Brownfields site locations</t>
  </si>
  <si>
    <t>Brownfields planning; environmental justice; community demographics; environmental conditions; public health indicators; contaminated-site context; redevelopment; transportation; green space; ecosystem services; community assets and vulnerabilities</t>
  </si>
  <si>
    <t>Residents and communities surrounding existing or potential Brownfields projects and areas being considered for EPA Brownfields funding or redevelopment</t>
  </si>
  <si>
    <t>Varies by layer; Brownfields site, census block group, census tract, county, watershed, community, and raster grid</t>
  </si>
  <si>
    <t>Varies by underlying layer and data provider</t>
  </si>
  <si>
    <t>Varies by underlying layer; collection membership and individual services may be updated independently</t>
  </si>
  <si>
    <t>Brownfields or regulated-site locations; population characteristics; income and poverty; race and ethnicity; age; housing; health indicators; transportation access; land cover; green space; water resources; air and environmental conditions; ecosystem services; community assets; environmental burdens; census geographic identifiers</t>
  </si>
  <si>
    <t>Describe communities surrounding Brownfields properties; identify environmental and social vulnerabilities; support EPA Brownfields grant narratives; compare potential redevelopment areas; evaluate access to green space and community assets; link Brownfields locations with HIV, health-disparity, demographic, and environmental indicators; generate community maps and screening profiles</t>
  </si>
  <si>
    <t>EPA ACRES Brownfields Properties; EPA Facility Registry Service; EPA Cleanups in My Community; EPA EJScreen; CDC/ATSDR Environmental Justice Index; American Community Survey; Census TIGER/Line; state Brownfields and voluntary-cleanup records</t>
  </si>
  <si>
    <t>This is a curated web-map collection rather than a single standardized dataset. Layer definitions, dates, geographic units, coverage, methods, and update schedules differ. Inclusion in the collection does not mean that every layer directly measures Brownfields contamination or exposure. Some indicators describe general community context. Brownfields locations may represent properties receiving EPA funding or assistance rather than a comprehensive inventory of all potentially contaminated properties. Users must review the metadata for every layer used.</t>
  </si>
  <si>
    <t>Public area-level data with no identifiable individual health records. Linking the layers to protected HIV, clinical, claims, or surveillance records requires compliance with the governance requirements of those health datasets. Document every selected layer, source year, geographic unit, extraction date, and spatial-linkage method.</t>
  </si>
  <si>
    <t>DS-077</t>
  </si>
  <si>
    <t>EPA Brownfields Site Information</t>
  </si>
  <si>
    <t>https://map22.epa.gov/cimc/brownfields</t>
  </si>
  <si>
    <t>Public property-level information on Brownfields addressed using EPA funding or technical assistance, including property location, assessment activities, potential or confirmed contamination, cleanup progress, controls, redevelopment, and reuse accomplishments.</t>
  </si>
  <si>
    <t>Public map, searchable property profiles, Excel and CSV downloads through Cleanups in My Community; full ACRES reporting system restricted to EPA Brownfields staff and authorized grant or contract recipients.</t>
  </si>
  <si>
    <t>SDOH/geospatial; Brownfields; Contaminated sites; Land revitalization; Environmental justice; Cleanup and remediation; Redevelopment; Property-level data; Community development</t>
  </si>
  <si>
    <t>EPA Brownfields; ACRES; Assessment Cleanup and Redevelopment Exchange System; Cleanups in My Community; CIMC; brownfield property; contaminated property; potentially contaminated site; site assessment; Phase I assessment; Phase II assessment; cleanup completed; ready for reuse; redevelopment; land revitalization; institutional controls; engineering controls; Brownfields grants; site proximity; South Carolina brownfields</t>
  </si>
  <si>
    <t>Brownfield properties; potentially contaminated land; property assessment; soil contamination; groundwater contamination; surface-water contamination; cleanup and remediation; institutional controls; engineering controls; land reuse; redevelopment; community revitalization; environmental justice</t>
  </si>
  <si>
    <t>Residents and communities surrounding properties assessed, cleaned up, or redeveloped using EPA Brownfields funding or technical assistance</t>
  </si>
  <si>
    <t>Brownfield property or site; grant jurisdiction; address; county; state</t>
  </si>
  <si>
    <t>1998–present; EPA-funded Brownfields property reporting has been required since 2003</t>
  </si>
  <si>
    <t>Twice monthly; public ACRES data are transferred to CIMC on the 4th and 18th of each month</t>
  </si>
  <si>
    <t>Property name; ACRES or program identifier; FRS Registry ID where available; street address; city; county; state; ZIP code; latitude; longitude; census tract; property acreage; grant recipient; cooperative agreement or funding source; grant type; assessment activity and date; contaminants; affected environmental media; cleanup activity; cleanup-completion status; institutional controls; engineering controls; ready-for-reuse status; redevelopment activity; leveraged funding; property accomplishments</t>
  </si>
  <si>
    <t>Locate EPA-supported Brownfields properties; construct property-proximity or buffer measures; characterize assessment, contamination, cleanup, and redevelopment status; examine whether Brownfields are concentrated in socially vulnerable communities; study neighborhood context for HIV and other health disparities; identify properties near health-care or community-service locations; assess cleanup and reuse progress; link Brownfields sites to demographic, environmental, and health indicators; identify sites requiring more detailed state or local review</t>
  </si>
  <si>
    <t>EnviroAtlas for Brownfields; EPA Facility Registry Service; EPA Cleanups in My Community; EPA EJScreen; CDC/ATSDR Environmental Justice Index; American Community Survey; Census TIGER/Line; EPA ECHO; EPA Superfund Enterprise Management System; EPA RCRAInfo; EPA Toxics Release Inventory; state and Tribal Brownfields or voluntary-cleanup inventories; South Carolina Department of Environmental Services cleanup data</t>
  </si>
  <si>
    <t>Not a comprehensive inventory of every Brownfield or potentially contaminated property in the United States. Public records primarily include properties benefiting from EPA Brownfields funding or technical assistance; state-funded, locally funded, privately managed, or otherwise unreported sites may be absent. A property can qualify as a Brownfield because of potential contamination, so inclusion does not establish that contamination was confirmed. Property reporting varies in completeness and timing. Public records may describe administrative milestones rather than measured contaminant concentrations. Multiple rows may represent the same property when it has multiple funding sources or accomplishments. Coordinates may not represent the full property boundary. Property proximity does not establish individual exposure or health risk.</t>
  </si>
  <si>
    <t>Public property- and area-level environmental information contains no identifiable individual health records. The underlying ACRES entry system is restricted to authorized EPA personnel and Brownfields grant or contract recipients. Linking Brownfields locations to protected HIV, clinical, claims, or surveillance data requires compliance with the confidentiality, geocoding, suppression, IRB, and data-use requirements of the health dataset. Do not interpret residence near a listed property as confirmed exposure. Document the extraction date, property-selection criteria, coordinate source, buffer or distance method, cleanup-status definition, and handling of duplicate property records.</t>
  </si>
  <si>
    <t>DS-078</t>
  </si>
  <si>
    <t>Water Quality Portal (WQP)</t>
  </si>
  <si>
    <t>https://www.waterqualitydata.us/</t>
  </si>
  <si>
    <t>National portal for discovering, querying, and downloading discrete physical, chemical, biological, and habitat-related water-quality monitoring results from EPA, USGS, and state, Tribal, federal, local, academic, watershed, and volunteer monitoring programs.</t>
  </si>
  <si>
    <t>Public web query, downloadable CSV, tab-delimited and Excel files, geospatial services, and public REST web services; no registration required for data retrieval.</t>
  </si>
  <si>
    <t>Water quality; Environmental monitoring; Surface water; Groundwater; SDOH/geospatial; Aquatic ecosystems; Drinking water; Biological monitoring; Monitoring-site data; Time-series data</t>
  </si>
  <si>
    <t>Water Quality Portal; WQP; Water Quality Exchange; WQX; USGS NWIS; water monitoring; surface water; groundwater; drinking water; stream; river; lake; reservoir; estuary; coastal water; monitoring station; sampling site; water chemistry; nutrients; metals; PFAS; pesticides; pathogens; bacteria; biological monitoring; habitat; sediment; South Carolina water quality</t>
  </si>
  <si>
    <t>Water chemistry; surface-water quality; groundwater quality; nutrients; metals; organic chemicals; PFAS; pesticides; pharmaceuticals; pathogens; bacteria; physical water characteristics; sediment; aquatic biology; habitat assessment; drinking-water source quality; watershed condition</t>
  </si>
  <si>
    <t>Water bodies, groundwater resources, sediments, aquatic organisms, and other environmental media represented by samples collected at monitoring locations</t>
  </si>
  <si>
    <t>Monitoring site; water body; watershed/HUC; county; state;</t>
  </si>
  <si>
    <t>Varies by monitoring organization, site, and characteristic; historical and current records through the present</t>
  </si>
  <si>
    <t>Ongoing; varies by contributing organization and source system</t>
  </si>
  <si>
    <t>Contributing organization; monitoring-location identifier; monitoring-location name; site type; latitude; longitude; state; county; watershed/HUC; sampling date and time; activity type; sample medium; characteristic name; result value; result unit; detection or reporting limit; analytical method; laboratory; sample depth; biological taxon; habitat measure; quality-assurance information; result status; data-source system</t>
  </si>
  <si>
    <t>Identify water-monitoring locations and available contaminants; characterize surface-water or groundwater quality near communities; analyze temporal trends in nutrients, metals, PFAS, pesticides, pathogens, or other constituents; examine environmental context for HIV and other health-disparity research; assess upstream or watershed conditions near drinking-water sources; compare South Carolina watersheds or counties; support exposure screening, ecological research, and environmental-justice analyses</t>
  </si>
  <si>
    <t>EPA Water Quality Exchange; USGS National Water Information System; EPA How's My Waterway; EPA ATTAINS; EPA National Hydrography Dataset Plus; EPA Safe Drinking Water Information System; EPA UCMR occurrence data; EPA ECHO; EPA EJScreen; CDC/ATSDR Environmental Justice Index; NOAA climate data; American Community Survey; South Carolina Department of Environmental Services water-quality data</t>
  </si>
  <si>
    <t>Data are contributed by many organizations and vary in sampling design, analytical methods, detection limits, units, quality-assurance procedures, monitoring frequency, and completeness. Monitoring sites are not evenly distributed, and the absence of results does not establish the absence of contamination. Discrete samples may not represent continuous conditions, short-term peaks, household tap-water exposure, or individual exposure. Non-detects and censored values require careful treatment. Results should not automatically be interpreted as regulatory violations or health risks. Large or broad queries may require substantial processing and harmonization.</t>
  </si>
  <si>
    <t>Public environmental monitoring data with no identifiable individual health records. Researchers linking monitoring results to protected HIV, clinical, claims, or surveillance records must follow the confidentiality, geocoding, suppression, IRB, and data-use requirements of the health dataset. Document the contributing organization, site-selection method, sampling period, characteristic names, units, detection-limit treatment, analytical methods, quality flags, and extraction date.</t>
  </si>
  <si>
    <t>DS-079</t>
  </si>
  <si>
    <t>How's My Waterway</t>
  </si>
  <si>
    <t>EPA / Data.gov</t>
  </si>
  <si>
    <t>https://mywaterway.epa.gov/</t>
  </si>
  <si>
    <t>Interactive public dashboard integrating local, state, Tribal, and national information on surface-water condition, swimming, fish consumption, aquatic life, impairments, restoration and protection activities, permitted dischargers, discharge violations, drinking water, and water monitoring.</t>
  </si>
  <si>
    <t>Public interactive web application with maps, community, state, Tribal, waterbody, and national reports; selected maps, reports, monitoring results, and ATTAINS information can be printed, exported, or downloaded.</t>
  </si>
  <si>
    <t>Reports/dashboard; SDOH/geospatial; Water quality; Watersheds; Impaired waters; Drinking water; Permitted dischargers; Water monitoring; Restoration; Environmental justice; Public communication</t>
  </si>
  <si>
    <t>EPA How's My Waterway; local water quality; watershed condition; community water report; swimming water quality; fish consumption; aquatic life; impaired water; 303(d); TMDL; permitted discharger; discharge violation; drinking water; water monitoring; monitoring station; cyanobacteria; harmful algal bloom; watershed restoration; HUC12; South Carolina water quality</t>
  </si>
  <si>
    <t>Surface-water condition; swimming; fish consumption; aquatic life; impairments; causes of impairment; restoration and protection; permitted wastewater dischargers; discharge violations; drinking-water systems; water monitoring; cyanobacteria; watershed health; state and national water metrics</t>
  </si>
  <si>
    <t>Residents, water users, and communities associated with U.S. watersheds, waterbodies, states, territories, and Tribal areas represented in the application</t>
  </si>
  <si>
    <t>HUC12 watershed; waterbody; community; state; Tribal area; national</t>
  </si>
  <si>
    <t>Varies by component; monitoring records may extend to the late 1800s, while assessment, discharge, drinking-water, restoration, satellite, and other data reflect the periods available in their underlying source systems</t>
  </si>
  <si>
    <t>Ongoing; application releases occur periodically, while underlying datasets refresh on different schedules</t>
  </si>
  <si>
    <t>Selected HUC12 watershed; waterbody name; waterbody condition; designated uses; use-support status; assessed and impaired-water status; cause of impairment; 303(d) listing status; TMDL and restoration actions; swimming and fish-consumption information; aquatic-life condition; permitted discharger name and permit type; discharge violations; monitoring-location identifier; monitored characteristic; result date and value; drinking-water system information; state drinking-water metrics; cyanobacteria estimates; watershed health and protection indicators</t>
  </si>
  <si>
    <t>Rapidly profile water conditions in a community or watershed; identify impaired waters and relevant designated uses; explore swimming, fishing, and aquatic-life concerns; locate permitted dischargers and reported violations; identify nearby monitoring stations and available characteristics; review restoration and protection activities; communicate findings to community partners; generate hypotheses before downloading data from ATTAINS, WQP, ECHO, or drinking-water systems; support public-health and environmental-justice demonstrations</t>
  </si>
  <si>
    <t>EPA ATTAINS; Water Quality Portal; EPA ECHO and NPDES data; EPA Safe Drinking Water Information System; EPA WATERS/NHDPlus; EPA CyAN; EPA BEACON; EPA National Aquatic Resource Surveys; EPA Recovery Potential Screening; EPA EnviroAtlas; American Community Survey; South Carolina Department of Environmental Services water data</t>
  </si>
  <si>
    <t>Integrated dashboard rather than one standardized dataset. Its components come from multiple agencies and EPA systems with different definitions, geographic units, methods, coverage, and refresh schedules. EPA cautions that more recent or detailed information may exist outside the application. Dashboard categories may simplify or roll up the original state-reported information. Monitoring-site coverage is uneven, and displayed results do not establish individual exposure, regulatory noncompliance, or health risk. Maps and reports are useful for discovery and communication, but substantive analyses should retrieve and document the underlying source records.</t>
  </si>
  <si>
    <t>Public dashboard and area-level information with no identifiable individual health records. Linking dashboard-derived geographic indicators to protected HIV, clinical, claims, or surveillance data requires compliance with the governance requirements of the health dataset. Avoid treating watershed or community conditions as individual attributes. Document the selected location, watershed, dashboard section, originating dataset, extraction date, reporting period, and spatial-linkage method.</t>
  </si>
  <si>
    <t>DS-080</t>
  </si>
  <si>
    <t>EPA ATTAINS</t>
  </si>
  <si>
    <t>https://www.epa.gov/waterdata/attains</t>
  </si>
  <si>
    <t>National system for accessing state-, territory-, and authorized Tribal assessments of surface-water condition, designated-use support, impaired-water decisions, causes and probable sources of impairment, Total Maximum Daily Loads, restoration plans, and protection approaches under the Clean Water Act.</t>
  </si>
  <si>
    <t>Public Expert Query, downloadable Excel and CSV extracts, REST/JSON web services, ArcGIS geospatial services, and national geospatial exports; some web-service workflows are transitioning to a free API key. The data-submission and review interface is restricted to registered state, Tribal, and EPA users.</t>
  </si>
  <si>
    <t>SDOH/geospatial; Water quality; Impaired waters; Regulatory assessment; TMDL; Surface water; Restoration planning; Watershed management; Area-level data; Longitudinal data</t>
  </si>
  <si>
    <t>EPA ATTAINS; Assessment TMDL Tracking and Implementation System; impaired waters; 303(d) list; 305(b) assessment; Integrated Report; water quality assessment; designated use; use support; assessment unit; cause of impairment; probable source; Total Maximum Daily Load; TMDL; restoration plan; protection approach; surface water; watershed; NHDPlus; South Carolina impaired waters</t>
  </si>
  <si>
    <t>Surface-water condition; designated-use attainment; impaired waters; pathogens; nutrients; dissolved oxygen; metals; sediment; toxic contaminants; fish consumption; recreation; aquatic life; drinking-water source use; TMDLs; restoration plans; protection approaches</t>
  </si>
  <si>
    <t>Surface waters assessed by states, territories, and authorized Tribes, including rivers, streams, lakes, reservoirs, estuaries, coastal waters, wetlands, and Great Lakes waters</t>
  </si>
  <si>
    <t>State-defined assessment unit; waterbody; NHDPlus catchment; HUC12 watershed; state</t>
  </si>
  <si>
    <t>Varies by jurisdiction; includes multiple biennial reporting cycles, historical pre-2015 records, and current assessment and action records</t>
  </si>
  <si>
    <t>Biennial by jurisdiction; geospatial data are updated when an assessment cycle is submitted and again after final EPA action, with services and exports refreshed as new data become available</t>
  </si>
  <si>
    <t>Reporting organization; reporting cycle; assessment unit identifier; assessment unit name; waterbody type; waterbody size and units; state-submitted geometry; HUC and NHDPlus catchment associations; designated use; use-support status; assessed parameter; cause of impairment; probable source of impairment; EPA Integrated Reporting category; 303(d) listing status; priority; action type; TMDL identifier; TMDL pollutant; restoration or protection plan; completion and approval dates; EPA action status</t>
  </si>
  <si>
    <t>Identify impaired or assessed surface waters; determine whether recreational, aquatic-life, fish-consumption, or drinking-water-source uses are supported; analyze causes and probable sources of impairment; locate waters with completed or planned TMDLs; examine changes across assessment cycles; characterize watershed context for public-health and environmental-justice research; link waterbody status with community demographics, health outcomes, or permitted dischargers</t>
  </si>
  <si>
    <t>EPA How's My Waterway; Water Quality Portal; EPA WATERS/NHDPlus; EPA ECHO and NPDES data; EPA Safe Drinking Water Information System; EPA BEACON; EPA EnviroAtlas; CDC/ATSDR Environmental Justice Index; American Community Survey; South Carolina Department of Environmental Services water-quality data</t>
  </si>
  <si>
    <t>ATTAINS contains regulatory assessment decisions rather than individual laboratory sample results. States, territories, and Tribes differ in water-quality standards, assessment methods, monitored parameters, assessment-unit definitions, and reporting schedules, so direct interstate comparisons require caution. Only evaluated waters are represented; absence of an impairment listing does not necessarily indicate good water quality. Assessment-unit boundaries and identifiers may change between cycles. Data currency varies by jurisdiction. Expert Query tables have many-to-many relationships that can create duplicate rows or incorrect counts if records are summarized without identifying the correct unit of analysis.</t>
  </si>
  <si>
    <t>Public waterbody- and area-level information with no identifiable individual health records. Linking ATTAINS data to protected HIV, clinical, claims, or surveillance records requires compliance with the confidentiality, geocoding, suppression, IRB, and data-use requirements of the health dataset. Do not interpret impairment status as an individual exposure or health outcome. Document the jurisdiction, reporting cycle, assessment-unit version, extraction date, parameter, use category, and geographic-linkage method.</t>
  </si>
  <si>
    <t>DS-081</t>
  </si>
  <si>
    <t>EPA WATERS Geospatial Data</t>
  </si>
  <si>
    <t>USGS / EPA / NWQMC</t>
  </si>
  <si>
    <t>https://www.epa.gov/waterdata/waters-geospatial-data-downloads</t>
  </si>
  <si>
    <t>National geospatial framework providing hydrologically connected GIS datasets, stream networks, catchments, watersheds, assessment units, and linked EPA water-program layers for watershed delineation, upstream/downstream tracing, spatial analysis, and integration of EPA water data.</t>
  </si>
  <si>
    <t>Public geodatabases, shapefiles, feature services, ArcGIS REST services, downloadable GIS layers, and web services.</t>
  </si>
  <si>
    <t>SDOH/geospatial; Hydrography; Watersheds; Stream network; GIS; NHDPlus; Catchments; Water resources; Spatial analysis; Hydrologic modeling</t>
  </si>
  <si>
    <t>EPA WATERS; Watershed Assessment Tracking and Environmental Results System; NHDPlus; hydrologic network; stream reach; flowline; catchment; watershed; HUC; watershed delineation; upstream downstream analysis; hydrologic tracing; geospatial water data; GIS water layers; EPA hydrography; waterbody polygons; assessment units</t>
  </si>
  <si>
    <t>Hydrography; stream networks; watersheds; catchments; hydrologic connectivity; waterbody geometry; assessment-unit boundaries; watershed delineation; flow-path analysis; GIS integration; environmental spatial analysis</t>
  </si>
  <si>
    <t>Surface-water features and hydrologic units represented in the national hydrographic network</t>
  </si>
  <si>
    <t>Stream reach; flowline; catchment; watershed/HUC; assessment unit; waterbody</t>
  </si>
  <si>
    <t>Current national hydrographic and linked water-program layers; update history varies by individual dataset</t>
  </si>
  <si>
    <t>Varies by dataset; updated as underlying EPA water-program and hydrographic layers are revised</t>
  </si>
  <si>
    <t>NHDPlus COMID; ReachCode; GNIS identifier; HUC2/HUC4/HUC8/HUC10/HUC12; stream name; flow direction; stream order; catchment identifier; watershed identifier; assessment-unit identifier; geometry; latitude; longitude; linked ATTAINS assessment units; linked monitoring locations; linked NPDES facilities; linked EPA water-program identifiers</t>
  </si>
  <si>
    <t>Create watershed and catchment boundaries; perform upstream/downstream tracing; delineate contributing watersheds; spatially join environmental and health data to hydrologic units; identify stream networks connected to monitoring stations, impaired waters, or discharge locations; prepare GIS analyses and maps; support watershed-scale environmental-health studies</t>
  </si>
  <si>
    <t>EPA ATTAINS; EPA How's My Waterway; Water Quality Portal; EPA NHDPlus; EPA ECHO/NPDES; EPA Safe Drinking Water Information System; EPA EnviroAtlas; USGS National Hydrography Dataset; American Community Survey; Census TIGER/Line</t>
  </si>
  <si>
    <t>WATERS is a geospatial infrastructure resource rather than a water-quality monitoring or regulatory database. Most downloaded layers contain geometry, identifiers, and spatial relationships instead of contaminant measurements or assessment results. Some linked datasets are maintained separately and may update on different schedules. Watershed boundaries, hydrography, and assessment units may change between versions. Spatial proximity or hydrologic connectivity should not be interpreted as evidence of contaminant transport or human exposure without supporting environmental data.</t>
  </si>
  <si>
    <t>Public geospatial data with no identifiable individual health records. When linking WATERS layers to protected HIV, clinical, claims, or surveillance data, follow applicable confidentiality, geocoding, suppression, IRB, and data-use requirements. Document the WATERS version, NHDPlus version, coordinate system, geographic layer used, and spatial-linkage method.</t>
  </si>
  <si>
    <t>DS-082</t>
  </si>
  <si>
    <t>USGS Water Data for the Nation / NWIS</t>
  </si>
  <si>
    <t>https://waterdata.usgs.gov/</t>
  </si>
  <si>
    <t>National access system for current and historical USGS hydrologic and water-quality information collected at monitoring locations, including continuous sensor data, daily values, manual field measurements, discrete environmental samples, monitoring-site metadata, and derived statistics.</t>
  </si>
  <si>
    <t>Public monitoring-location pages, maps, graphs, tables, data downloads, National Water Dashboard, REST/OGC APIs, and R/Python data-access tools; an API key is available for higher request-rate limits.</t>
  </si>
  <si>
    <t>Water quality; Hydrology; Surface water; Groundwater; Streamflow; Water levels; Environmental monitoring; SDOH/geospatial; Monitoring-site data; Time-series data; Real-time data</t>
  </si>
  <si>
    <t>USGS Water Data for the Nation; WDFN; National Water Information System; NWIS; NWISWeb; USGS water data; streamgage; streamflow; discharge; gage height; river level; lake level; reservoir level; groundwater level; well data; spring data; water quality; continuous data; instantaneous values; daily values; field measurements; discrete samples; National Water Dashboard; Water Data APIs; South Carolina water data</t>
  </si>
  <si>
    <t>Streamflow; river and stream levels; lakes and reservoirs; groundwater levels; wells and aquifers; floods; drought; precipitation; water temperature; physical water quality; chemical water quality; sediment; biological samples; hydrologic statistics</t>
  </si>
  <si>
    <t>Surface waters, groundwater systems, and associated communities represented by USGS monitoring locations across U.S. states and territories</t>
  </si>
  <si>
    <t>Monitoring location; streamgage; well; spring; lake or reservoir site; county; watershed/HUC</t>
  </si>
  <si>
    <t>More than 135 years; varies by monitoring location, parameter, and data category, with historical and current records through the present</t>
  </si>
  <si>
    <t>Ongoing; telemetered continuous data may be available within minutes, while daily values, field measurements, and discrete samples are added as processing and laboratory work are completed. Recent records may remain provisional until reviewed and approved.</t>
  </si>
  <si>
    <t>USGS monitoring-location identifier; station name; collecting agency; site type; site establishment date; latitude; longitude; state; county; hydrologic unit code; well depth; aquifer; parameter or observed-property name; parameter code; date and time; measured value; units; statistic code; qualifier; approval status; discharge or streamflow; gage height; lake or reservoir elevation; groundwater level; precipitation; water temperature; pH; specific conductance; dissolved oxygen; turbidity; nutrients; metals; pesticides; volatile organic compounds; sediment measurements; biological and tissue sample results</t>
  </si>
  <si>
    <t>Monitor current river, lake, reservoir, and groundwater conditions; analyze long-term streamflow and groundwater trends; characterize floods and droughts; estimate hydrologic or water-quality exposures; examine relationships between water conditions and infectious, gastrointestinal, cardiovascular, or other health outcomes; assess environmental context for communities affected by HIV or other health disparities; link monitoring data with watersheds, permitted dischargers, demographics, climate, and health outcomes; support water-resource planning and environmental epidemiology</t>
  </si>
  <si>
    <t>Water Quality Portal; USGS National Water Dashboard; EPA WATERS/NHDPlus; EPA ATTAINS; EPA How's My Waterway; EPA ECHO/NPDES; EPA Safe Drinking Water Information System; PRISM Climate Data; NOAA climate and precipitation data; American Community Survey; South Carolina Department of Environmental Services water data</t>
  </si>
  <si>
    <t>Monitoring locations are not evenly distributed, and available parameters, record lengths, sampling frequencies, and operating periods differ substantially by site. A monitoring-site measurement may not represent conditions throughout an entire stream, aquifer, watershed, drinking-water system, household, or individual. Continuous and daily records may contain gaps caused by equipment failure, telemetry interruption, site changes, or discontinued monitoring. Historical comparability can be affected by changes in instruments, methods, rating curves, site location, parameter definitions, or sampling practices. Recent data may be provisional and subject to substantial revision following field inspection and quality review. Discrete samples may have varying analytical methods, reporting limits, qualifiers, and sampling designs. Large multi-site analyses require careful handling of parameter codes, statistic codes, units, approval status, and missingness.</t>
  </si>
  <si>
    <t>Public environmental monitoring data with no identifiable individual health records. Provisional values should be identified as such and should not be treated as final approved records for high-stakes decisions. Researchers linking monitoring locations to protected HIV, clinical, claims, or surveillance records must follow the confidentiality, geocoding, suppression, IRB, and data-use requirements of the health dataset. Do not interpret a monitoring-site value as an individually measured exposure. Document the monitoring locations, parameters, statistic codes, date range, approval status, extraction date, spatial-linkage method, and API or interface used.</t>
  </si>
  <si>
    <t>DS-083</t>
  </si>
  <si>
    <t>NOAA Climate Data Online (CDO)</t>
  </si>
  <si>
    <t>https://www.ncei.noaa.gov/cdo-web/</t>
  </si>
  <si>
    <t>Portal for discovering and downloading observed historical weather and climate data and station metadata from multiple NOAA/NCEI collections, including daily, monthly, seasonal, annual, hourly, radar, precipitation, and climate-normal products.</t>
  </si>
  <si>
    <t>Public search and mapping tools, free data orders and downloads, dataset-specific tools, bulk files, and web services; the CDO API requires a free email-issued token; certified copies for legal use may require payment.</t>
  </si>
  <si>
    <t>Climate; Weather; Temperature; Precipitation; Wind; Snow; Humidity; Climate normals; Environmental monitoring; Station data; Time-series data; SDOH/geospatial</t>
  </si>
  <si>
    <t>NOAA Climate Data Online; NOAA CDO; NCEI; NCDC; historical weather; past weather; weather station; station history; GHCN-Daily; GHCND; Global Summary of the Month; GSOM; Global Summary of the Year; GSOY; Local Climatological Data; LCD; climate normals; daily summaries; hourly weather; precipitation; temperature; snowfall; wind; degree days; radar; South Carolina weather</t>
  </si>
  <si>
    <t>Temperature; extreme heat; extreme cold; precipitation; heavy rainfall; drought-related conditions; snowfall; snow depth; wind; humidity; dew point; atmospheric pressure; degree days; climate normals; routine weather observations; radar observations</t>
  </si>
  <si>
    <t>Weather-observing locations and surrounding land areas and populations worldwide</t>
  </si>
  <si>
    <t>Weather station; city; county; state; country, depending on dataset and search</t>
  </si>
  <si>
    <t>Varies by dataset and station; selected daily records date to 1750, with current observations through the present; most stations cover substantially shorter periods.</t>
  </si>
  <si>
    <t>Ongoing; varies by dataset; major daily station products update seven days per week, while monthly, annual, normals, radar, and other products follow dataset-specific schedules.</t>
  </si>
  <si>
    <t>Dataset identifier; station identifier; station name; station network; latitude; longitude; elevation; date and time; maximum temperature; minimum temperature; average temperature; precipitation; snowfall; snow depth; wind speed; wind direction; wind gust; dew point; relative humidity; sea-level pressure; station pressure; heating degree days; cooling degree days; weather type; climate normals; observation flags; source flags; quality-control flags</t>
  </si>
  <si>
    <t>Assign observed weather exposures to residences, clinics, counties, or other study locations; analyze heat, cold, precipitation, humidity, snowfall, and wind; evaluate weather-related changes in mortality, morbidity, HIV clinic attendance, care access, or medication continuity; control for weather in air-pollution and infectious-disease models; calculate extreme-weather thresholds and lagged exposures; validate PRISM or other gridded climate products; compare observed conditions with climate normals</t>
  </si>
  <si>
    <t>PRISM Climate Data; NOAA Storm Events Database; GHCN-Daily; NOAA Local Climatological Data; NOAA U.S. Climate Normals; CDC Heat and Health Tracker; EPA AirData/AQS; USGS Water Data for the Nation; American Community Survey; Daymet; gridMET</t>
  </si>
  <si>
    <t>CDO is an umbrella portal rather than one standardized dataset. Variables, temporal resolution, geographic coverage, units, quality-control procedures, and update schedules differ by collection and station. Weather stations are unevenly distributed, and point observations may not represent conditions throughout a census area or an individual's actual exposure. Records may contain missing values, quality flags, reporting interruptions, station moves, instrumentation changes, and observation-time changes. Recent observations can be revised as quality-control processing continues. Large multi-station extractions may be easier through dataset-specific bulk archives than through the CDO cart or API. Some international products may carry additional use conditions.</t>
  </si>
  <si>
    <t>Public environmental data with no identifiable individual health records. A free API token is required for CDO web services, with request-rate and daily limits. Researchers should document the underlying dataset, station identifiers, station network, variables, units, quality flags, temporal resolution, extraction method, and access date. Follow any dataset-specific conditions applicable to international observations. When linking station observations to protected health records, follow the governance requirements of the health dataset and do not describe station measurements as personally measured exposure.</t>
  </si>
  <si>
    <t>DS-084</t>
  </si>
  <si>
    <t>NOAA nClimGrid Daily / EpiNOAA County Dataset</t>
  </si>
  <si>
    <t>USGS</t>
  </si>
  <si>
    <t>https://arc.ncics.org/nclimgrid-overview/</t>
  </si>
  <si>
    <t>Analysis-ready daily county-level time series of area-averaged maximum, minimum, and mean temperature and precipitation derived from NOAA nClimGrid-Daily for climate monitoring, epidemiologic exposure assignment, and longitudinal public-health research.</t>
  </si>
  <si>
    <t>Public direct CSV and Parquet downloads through NOAA-hosted cloud storage; R package and interactive access options are also available; no registration or credentials required.</t>
  </si>
  <si>
    <t>Climate; Weather; Extreme heat; Extreme cold; Precipitation; County-level data; SDOH/geospatial; Analysis-ready data; Time-series data; Epidemiology</t>
  </si>
  <si>
    <t>NOAA nClimGrid-Daily; nClimGrid Daily; EpiNOAA; county climate; daily weather; daily maximum temperature; Tmax; daily minimum temperature; Tmin; daily average temperature; Tavg; daily precipitation; Prcp; extreme heat; extreme cold; heavy rainfall; county climate exposure; area average; CONUS; GHCN-Daily; climate epidemiology; NCICS; CISESS</t>
  </si>
  <si>
    <t>Daily temperature; extreme heat; extreme cold; precipitation; heavy rainfall; drought-related conditions; flood-related climate conditions; climate variability; weather exposure</t>
  </si>
  <si>
    <t>Residents and land areas of counties in the contiguous United States, represented through county-area-average daily climate estimates</t>
  </si>
  <si>
    <t xml:space="preserve"> Data are available from 1951 to the present. </t>
  </si>
  <si>
    <t xml:space="preserve">Daily data are updated every 3 days with a preliminary data file and replaced with the scaled (i.e., quality controlled) data file every three months. </t>
  </si>
  <si>
    <t>Date; year; month; day; county or regional identifier; county name; state identifier; daily maximum temperature (Tmax, °C); daily minimum temperature (Tmin, °C); daily average temperature (Tavg, °C); daily precipitation amount (Prcp, mm); preliminary or scaled data status; product version</t>
  </si>
  <si>
    <t>Assign daily county-level heat, cold, and precipitation exposures to health records; examine heat-related illness, mortality, hospitalization, or emergency-care use; study weather-related disruptions in HIV clinic attendance, medication access, care retention, or viral-load testing; conduct time-series, case-crossover, distributed-lag, or county-panel analyses; identify heavy-rainfall and extreme-temperature periods; control for weather in air-pollution, infectious-disease, or health-services research; compare climate exposures across South Carolina counties</t>
  </si>
  <si>
    <t>NOAA Climate Data Online; Global Historical Climatology Network-Daily; PRISM Climate Data; NOAA Storm Events Database; CDC Heat and Health Tracker; CDC Environmental Public Health Tracking Network; EPA AirData/AQS; USGS Water Data for the Nation; American Community Survey; CDC PLACES; county-level health surveillance, claims, or hospitalization data</t>
  </si>
  <si>
    <t>Modeled and interpolated estimates derived from weather-station observations rather than direct measurements in every county. County values are spatial area averages and are not population-weighted; they can obscure within-county variation, urban heat islands, elevation differences, and localized rainfall extremes. The source covers the contiguous United States and excludes Alaska, Hawaii, and U.S. territories. Available climate variables are limited to maximum, minimum, and average temperature and precipitation; humidity, heat index, wind, and solar radiation are not included. Preliminary observations may change as additional station data are received and quality-control processing is completed. Interpolation smooths local extremes and can introduce precipitation bias. NOAA discourages interpreting an individual grid-point value on a single day as the exact condition at that location.</t>
  </si>
  <si>
    <t>Public non-human environmental data with no individual privacy restrictions. Cite NOAA nClimGrid-Daily and record the EpiNOAA access date. Document the product version, preliminary-versus-scaled status, units, county identifier or crosswalk, extraction dates, and construction of derived exposure variables. When linking county estimates to protected health records, follow the governance requirements of the health dataset and do not describe county averages as personally measured exposure.</t>
  </si>
  <si>
    <t>DS-085</t>
  </si>
  <si>
    <t>PRISM Climate Data</t>
  </si>
  <si>
    <t>PRISM Climate Group, Oregon State University</t>
  </si>
  <si>
    <t>https://prism.oregonstate.edu/https://prism.oregonstate.edu/</t>
  </si>
  <si>
    <t>Terrain-sensitive gridded estimates of precipitation, temperature, humidity, and solar radiation for assigning daily, monthly, annual, and long-term climate conditions to locations and geographic areas.</t>
  </si>
  <si>
    <t>Public data explorer, raster-grid downloads, data directory, FTP access, and web services; attribution required under PRISM terms of use</t>
  </si>
  <si>
    <t>Climate; Weather; Temperature; Precipitation; Humidity; SDOH/geospatial; Raster data; Exposure modeling; Longitudinal data</t>
  </si>
  <si>
    <t>Temperature; extreme heat; precipitation; rainfall; humidity; dew point; vapor pressure deficit; solar irradiance; climate normals; climate anomalies; drought-related conditions; flood-related climate conditions</t>
  </si>
  <si>
    <t>Land areas and populations in the conterminous United States, represented through gridded climate estimates</t>
  </si>
  <si>
    <t>800-meter or 4-kilometer raster grid cell</t>
  </si>
  <si>
    <t>Daily: 1981–present; monthly and annual: 1895–present; current normals: 1991–2020</t>
  </si>
  <si>
    <t>Ongoing; daily and monthly products are revised during a rolling six-month quality-control period</t>
  </si>
  <si>
    <t>Precipitation total (ppt); minimum temperature (tmin); maximum temperature (tmax); mean temperature (tmean); mean dew point temperature (tdmean); minimum and maximum vapor pressure deficit (vpdmin and vpdmax); total solar irradiance on horizontal and sloped surfaces (soltotal and solslope); clear-sky solar irradiance and cloud transmittance for normals (solclear and soltrans); date; raster grid cell; spatial resolution; data version and stability status</t>
  </si>
  <si>
    <t>Assign daily or monthly climate exposures to residences, clinics, census areas, counties, or study sites; examine extreme heat and heat-related morbidity or mortality; evaluate climate conditions associated with HIV care access or outcomes; study precipitation, flooding, drought, vector-borne disease, respiratory disease, cardiovascular outcomes, and infectious-disease seasonality; calculate cumulative and lagged exposure measures; control for weather in epidemiologic models; support climate-vulnerability and adaptation planning</t>
  </si>
  <si>
    <t>NOAA/NCEI Climate Data Online; NOAA Global Historical Climatology Network; CDC Heat and Health Tracker; CDC Environmental Public Health Tracking Network; EPA AirData/AQS; USGS National Water Information System; American Community Survey; CDC PLACES; Census TIGER/Line; Daymet; gridMET</t>
  </si>
  <si>
    <t>Modeled and interpolated gridded estimates rather than measurements at every location. Accuracy depends on weather-station availability, reporting quality, terrain, coastal effects, and model assumptions. Nominal 800-meter resolution does not guarantee equivalent measurement precision and does not capture street-level, building-level, indoor, occupational, or personal exposure. Recent products may change during the six-month quality-control period. Station openings, closures, equipment or location changes, and observation-time changes can introduce temporal inhomogeneities. The standard all-networks time series prioritizes the best spatial estimate over temporal consistency, and PRISM does not recommend using its standard products to calculate very long-term trends. Variables, coverage, temporal periods, and resolution differ by product.</t>
  </si>
  <si>
    <t>Public non-human gridded climate data with no individual privacy restrictions. PRISM Group, Oregon State University retains ownership. Uses of the data should clearly identify the PRISM Group, its website, and the date of data access. Reproduced PRISM map graphics require the applicable copyright notice. When linking PRISM estimates to protected health records, follow the governance requirements of the health dataset and do not characterize grid-cell estimates as personally measured exposure. Document the product, variable, spatial resolution, temporal resolution, data version, stability status, access date, and spatial-extraction method.</t>
  </si>
  <si>
    <t>DS-086</t>
  </si>
  <si>
    <t>gridMET</t>
  </si>
  <si>
    <t>Climatology Lab, University of California, Merced</t>
  </si>
  <si>
    <t>https://www.climatologylab.org/gridmet.html</t>
  </si>
  <si>
    <t>Daily, spatially continuous gridded surface meteorological data for assigning temperature, precipitation, humidity, wind, solar radiation, evapotranspiration, vapor-pressure deficit, drought, and fire-weather conditions to locations and geographic areas.</t>
  </si>
  <si>
    <t>Public annual NetCDF downloads, wget-generated downloads, THREDDS/OPeNDAP services, Climate Engine access, USGS Zarr services, and Google Earth Engine; no approval required for direct files.</t>
  </si>
  <si>
    <t>Climate; Weather; Temperature; Precipitation; Humidity; Wind; Solar radiation; Evapotranspiration; Vapor pressure deficit; Drought; Wildfire; SDOH/geospatial; Raster data; Longitudinal data</t>
  </si>
  <si>
    <t>gridMET; METDATA; Climatology Lab; UC Merced; University of Idaho; daily gridded meteorology; 4-kilometer climate data; temperature; precipitation; relative humidity; specific humidity; vapor pressure deficit; wind speed; wind direction; solar radiation; evapotranspiration; reference ET; Palmer Drought Severity Index; fire weather; fuel moisture; Energy Release Component; Burning Index; PRISM; NLDAS-2</t>
  </si>
  <si>
    <t>Daily temperature; extreme heat; extreme cold; precipitation; heavy rainfall; humidity; vapor-pressure deficit; wind; solar radiation; evapotranspiration; drought; wildfire danger; fuel moisture; climate variability</t>
  </si>
  <si>
    <t>Land areas and populations in the contiguous United States represented through approximately 4-kilometer gridded meteorological estimates</t>
  </si>
  <si>
    <t>Approximately 4-kilometer raster grid cell</t>
  </si>
  <si>
    <t>1979–present; generally available through the previous day</t>
  </si>
  <si>
    <t>Daily; observations from the most recent 60 days are preliminary and subject to replacement or revision</t>
  </si>
  <si>
    <t>Date; raster-cell centroid; latitude; longitude; precipitation accumulation; maximum temperature; minimum temperature; maximum relative humidity; minimum relative humidity; specific humidity; wind velocity; wind direction; downward shortwave solar radiation; mean vapor-pressure deficit; grass-reference evapotranspiration; alfalfa-reference evapotranspiration; Energy Release Component; Burning Index; 100-hour dead-fuel moisture; 1,000-hour dead-fuel moisture; 10-day Palmer Drought Severity Index; preliminary or permanent data status</t>
  </si>
  <si>
    <t>Assign daily meteorological exposures to residences, clinics, census areas, counties, watersheds, or study sites; study extreme heat and cold; incorporate humidity or vapor-pressure deficit into heat-exposure measures; evaluate precipitation, drought, wildfire, respiratory, cardiovascular, infectious-disease, and environmental-health outcomes; examine weather-related disruption of HIV services or medication access; calculate lagged and cumulative exposure measures; model evapotranspiration and hydrologic conditions; support agricultural, ecological, and wildfire analyses</t>
  </si>
  <si>
    <t>PRISM Climate Data; NOAA nClimGrid-Daily and EpiNOAA; NOAA Climate Data Online; NOAA Storm Events Database; TerraClimate; Daymet; CDC Heat and Health Tracker; EPA AirData/AQS; USGS Water Data for the Nation; FEMA National Risk Index; American Community Survey</t>
  </si>
  <si>
    <t>Modeled and interpolated raster estimates rather than measurements at every location. The approximately 4-kilometer grid may not capture neighborhood-scale heat, urban microclimates, coastal gradients, localized thunderstorms, or terrain effects below the native resolution. Wind and solar-radiation inputs originate from substantially coarser reanalysis data and may not represent mesoscale terrain effects. Solar radiation is calculated for a planar surface rather than adjusted for slope and aspect. Recent observations are preliminary and can be replaced as more complete source data become available. The gridMET day is defined as midnight-to-midnight Mountain Standard Time, which may differ from the local calendar day in South Carolina. Grid-cell values should not be interpreted as personal exposure.</t>
  </si>
  <si>
    <t>Public non-human environmental data with no individual privacy restrictions. gridMET is available without known copyright restrictions, but researchers should cite the source and record the acquisition date. When linking raster estimates to protected health records, follow the confidentiality, geocoding, suppression, IRB, and data-use requirements of the health dataset. Document the variables, units, grid resolution, extraction date, preliminary-versus-permanent status, time-zone handling, spatial extraction method, and aggregation procedure.</t>
  </si>
  <si>
    <t>DS-087</t>
  </si>
  <si>
    <t>NOAA Storm Events Database</t>
  </si>
  <si>
    <t>https://www.ncei.noaa.gov/stormevents/</t>
  </si>
  <si>
    <t>Event-based database documenting severe storms, unusual weather phenomena, and other significant meteorological events, including event timing and location, reported injuries and fatalities, property and crop damage, event magnitude, and descriptive narratives.</t>
  </si>
  <si>
    <t>Public interactive search, narrative search, annual bulk CSV files, event-location files, fatality files, documentation, and archived Storm Data publications; no account required.</t>
  </si>
  <si>
    <t>Climate; Weather; Natural hazards; Disasters; Emergency preparedness; Extreme heat; Flooding; Injury surveillance; Mortality; SDOH/geospatial; Event-level data; Longitudinal data</t>
  </si>
  <si>
    <t>NOAA Storm Events Database; NCEI; NWS Storm Data; severe weather; natural disaster; extreme weather; tornado; hurricane; tropical storm; flood; flash flood; storm surge; extreme heat; excessive heat; drought; wildfire; lightning; hail; thunderstorm wind; winter storm; ice storm; coastal flood; injuries; fatalities; property damage; crop damage; South Carolina storm events</t>
  </si>
  <si>
    <t>Tornadoes; hurricanes; tropical storms; floods; flash floods; coastal flooding; storm surge; extreme heat; cold exposure; drought; wildfire; lightning; hail; damaging winds; heavy rain; winter storms; ice storms; rip currents; weather-related injuries; weather-related deaths; economic damage</t>
  </si>
  <si>
    <t>Residents and communities in the United States and territories affected by recorded severe or significant weather events; records also cover marine areas and forecast zones</t>
  </si>
  <si>
    <t>County or parish; NWS forecast zone; marine zone; event point or path; state or territory</t>
  </si>
  <si>
    <t>January 1950–present; currently available through March 2026; period of record varies by event type</t>
  </si>
  <si>
    <t>Monthly; generally updated approximately 75–90 days after the end of each data month</t>
  </si>
  <si>
    <t>Episode ID; event ID; state; state FIPS; year; month; event type; county, parish, forecast zone, or marine-zone identifier; county or zone FIPS; National Weather Service forecast office; event start and end date/time; time zone; direct injuries; indirect injuries; direct deaths; indirect deaths; estimated property damage; estimated crop damage; reporting source; event magnitude; magnitude type; flood cause; tornado EF scale; tornado path length and width; beginning and ending latitude and longitude; event locations; episode narrative; event narrative; fatality date; fatality age; fatality sex; fatality location category</t>
  </si>
  <si>
    <t>Identify severe-weather events affecting a study population; examine associations between disasters and mortality, injury, hospitalization, emergency care, mental health, or infectious-disease outcomes; study disruptions to HIV clinics, pharmacies, transportation, antiretroviral treatment, and care retention after hurricanes or floods; construct event windows for interrupted time-series or difference-in-differences studies; evaluate geographic disparities in disaster impacts; characterize direct and indirect deaths and injuries; assess property and crop damage; support emergency preparedness and climate-resilience planning</t>
  </si>
  <si>
    <t>PRISM Climate Data; NOAA/NCEI Climate Data Online; NOAA Integrated Best Track Archive for Climate Stewardship; National Weather Service warning data; FEMA OpenFEMA Disaster Declarations; USGS Water Data for the Nation; CDC Heat and Health Tracker; CDC WONDER mortality data; American Community Survey; CDC/ATSDR Social Vulnerability Index; CDC/ATSDR Environmental Justice Index; hospital discharge or claims data; NCHHSTP AtlasPlus; HIV surveillance and Ryan White program data</t>
  </si>
  <si>
    <t>The database is not a complete census of all weather conditions or every hazardous event. Event-type coverage and reporting procedures changed substantially over time, making naïve historical event-count comparisons unreliable. Early records are concentrated on tornadoes, hail, and thunderstorm winds, and June and July 1993 records are missing. Information comes from National Weather Service offices and numerous outside sources, and some reports may be unverified. Location precision varies by period and event; older coordinates may be approximate. Property and crop damage values are broad estimates and are not adjusted for inflation. Tornadoes can be divided into multiple event segments when crossing counties, states, or forecast-office areas. Recent data appear with a reporting lag. Reported injuries, fatalities, damages, and narratives should not be assumed complete or equally ascertained across locations and years.</t>
  </si>
  <si>
    <t>Public event records with no names or direct personal identifiers. The separate fatality file contains one record per reported fatality and may include age, sex, date, and a broad location category; researchers should avoid unnecessary disclosure of rare-event combinations in small communities. Linking storm-event records to protected HIV, clinical, claims, or surveillance data requires compliance with the confidentiality, geocoding, suppression, IRB, and data-use requirements of the health dataset. Cite NOAA/NCEI and document the extraction date, data files, event definitions, temporal window, geographic-linkage method, and treatment of event segments.</t>
  </si>
  <si>
    <t>DS-088</t>
  </si>
  <si>
    <t>FEMA National Risk Index</t>
  </si>
  <si>
    <t>FEMA National Risk Index for Natural Hazards</t>
  </si>
  <si>
    <t>https://www.fema.gov/flood-maps/products-tools/national-risk-index</t>
  </si>
  <si>
    <t>Area-level multi-hazard screening dataset combining expected annual loss, social vulnerability, and community resilience to compare natural-hazard risk across U.S. counties and census tracts and support mitigation, preparedness, resilience planning, grant prioritization, and risk communication.</t>
  </si>
  <si>
    <t>Public FEMA landing page, RAPT GIS web map, OpenFEMA downloadable files, FEMA ArcGIS county and census-tract feature layers, and technical documentation; no account required.</t>
  </si>
  <si>
    <t>Environmental exposure; Natural hazards; Disaster risk; Climate; Social vulnerability; Community resilience; Emergency preparedness; Hazard mitigation; Resilience planning; Area-level data</t>
  </si>
  <si>
    <t>FEMA National Risk Index; FEMA NRI; natural hazard risk; multi-hazard risk; expected annual loss; EAL; social vulnerability; community resilience; disaster vulnerability; hazard mitigation; emergency preparedness; census tract risk; county risk; annualized frequency; historic loss ratio; RAPT; disaster resilience; South Carolina natural hazards</t>
  </si>
  <si>
    <t>Avalanche; coastal flooding; cold wave; drought; earthquake; hail; heat wave; hurricane; ice storm; inland flooding; landslide; lightning; strong wind; tornado; tsunami; volcanic activity; wildfire; winter weather; expected annual loss; social vulnerability; community resilience</t>
  </si>
  <si>
    <t>Residents, buildings, agricultural assets, and communities in U.S. counties and census tracts, represented through area-level hazard exposure, expected annual loss, social vulnerability, and community resilience measures</t>
  </si>
  <si>
    <t>Census tract; county; Tribal census tract; state-level Expected Annual Loss summaries, depending on product</t>
  </si>
  <si>
    <t>Multiple data versions since 2020; latest version 1.20 released in December 2025; underlying source periods vary by hazard and risk component</t>
  </si>
  <si>
    <t>Irregular/periodic; updated when major source datasets or methodologies are revised; latest major update December 2025</t>
  </si>
  <si>
    <t>National Risk Index identifier; state, county, and census-tract FIPS codes; composite Risk Index value, score, and rating; composite Expected Annual Loss value, score, and rating; Social Vulnerability value, score, and rating; Community Resilience value, score, and rating; hazard-specific Risk Index scores and ratings; hazard-specific Expected Annual Loss; annualized hazard frequency; exposure; historic loss ratio; building-loss component; population-loss component; agriculture-loss component; geographic geometry; National Risk Index version</t>
  </si>
  <si>
    <t>Identify census tracts or counties with high multi-hazard risk; prioritize emergency-preparedness and resilience resources; examine whether areas with high HIV burden or poorer HIV care outcomes also face elevated disaster risk or low community resilience; assess potential disruption of clinics, pharmacies, transportation, utilities, and medication access; support continuity-of-care planning; compare hazard-specific risks across South Carolina; select communities for qualitative engagement; support hazard-mitigation planning, grant applications, and risk communication</t>
  </si>
  <si>
    <t>FEMA Resilience Analysis and Planning Tool; OpenFEMA Disaster Declarations Summaries; NOAA Storm Events Database; PRISM Climate Data; NOAA EpiNOAA/nClimGrid Daily; FEMA National Flood Hazard Layer; CDC/ATSDR Social Vulnerability Index; CDC/ATSDR Environmental Justice Index; American Community Survey; USGS hazard datasets; local hazard-mitigation plans; health-care facility and pharmacy locations</t>
  </si>
  <si>
    <t>Relative screening index rather than a site-specific risk assessment or prediction of future events. Scores are based on modeled expected annual losses, historical hazard information, exposure estimates, social vulnerability, and community resilience measures drawn from sources with different reference periods and methods. County and tract values can conceal substantial within-area variation. Expected Annual Loss is a modeled long-term average and should not be interpreted as the amount a community will lose in a particular year. National ratings are comparative rather than absolute safety thresholds. Composite scores may obscure which hazard or community factor is driving risk. Data versions may not be directly comparable because hazard methods, source data, geography, and community-factor calculations can change. The index does not represent individual exposure, individual vulnerability, or individual probability of harm and should not replace local hazard studies.</t>
  </si>
  <si>
    <t>Public aggregate geospatial data with no identifiable individual records. Cite FEMA, the National Risk Index version, the geographic level, and the date accessed. Linking tract- or county-level risk measures to protected HIV, clinical, claims, or surveillance data requires compliance with the confidentiality, geocoding, suppression, IRB, and data-use requirements of the health dataset. Do not present tract-level risk or vulnerability as an individual characteristic, and avoid publishing small-area health results that could permit indirect identification.</t>
  </si>
  <si>
    <t>DS-089</t>
  </si>
  <si>
    <t>USGS / MRLC National Land Cover Database (NLCD)</t>
  </si>
  <si>
    <t>MRLC Annual National Land Cover Database</t>
  </si>
  <si>
    <t>https://www.mrlc.gov/data/project/annual-nlcd</t>
  </si>
  <si>
    <t>Annual 30-meter raster data describing land cover, land-cover change, classification confidence, and impervious surfaces for analyzing urbanization, development, vegetation, wetlands, environmental context, and changes in the land surface over time.</t>
  </si>
  <si>
    <t>Public MRLC Viewer and area-of-interest downloads, GeoTIFF raster files, USGS EarthExplorer, ScienceBase archives, AWS cloud storage, and geospatial web services; no approval required.</t>
  </si>
  <si>
    <t>SDOH/geospatial; Land cover; Land use; Built environment; Impervious surface; Urbanization; Greenspace; Forest; Wetlands; Agriculture; Remote sensing; Raster data; Longitudinal data</t>
  </si>
  <si>
    <t>Annual NLCD; National Land Cover Database; MRLC; USGS EROS; Landsat land cover; land-cover change; 30-meter raster; developed land; urbanization; impervious surface; fractional imperviousness; roads; forest cover; wetlands; agriculture; open water; greenspace; built environment; remote sensing; South Carolina land cover</t>
  </si>
  <si>
    <t>Land cover; land-cover change; developed land; urbanization; impervious surfaces; roads; open water; forest; shrubland; grassland; pasture; cultivated crops; wetlands; greenspace; land-surface disturbance</t>
  </si>
  <si>
    <t>Land areas and communities in the conterminous United States represented through 30-meter land-cover raster cells</t>
  </si>
  <si>
    <t>30-meter raster grid cell; current Annual NLCD core coverage is the conterminous United States</t>
  </si>
  <si>
    <t>1985–2025 in Annual NLCD Collection 1.2</t>
  </si>
  <si>
    <t>Annual; new releases extend and may reprocess the annual historical product series</t>
  </si>
  <si>
    <t>Mapping year; raster-cell coordinates; land-cover class code; land-cover class description; land-cover change; land-cover confidence; fractional impervious surface percentage; impervious descriptor identifying road or other urban surfaces; spectral change day of year; spatial resolution; product collection and version; projection and datum</t>
  </si>
  <si>
    <t>Calculate developed-land, forest, wetland, agricultural, or greenspace percentages within census areas or buffers; measure imperviousness around residences, clinics, pharmacies, or community organizations; study urbanization and neighborhood environmental change; evaluate associations between land cover and HIV outcomes, physical activity, heat, air pollution, flooding, stormwater runoff, vector habitat, respiratory outcomes, or access to greenspace; characterize environmental context around Brownfields, Superfund sites, or regulated facilities; construct annual county, tract, ZIP, or watershed land-cover indicators</t>
  </si>
  <si>
    <t>EPA EnviroAtlas; EPA EJScreen; CDC/ATSDR Environmental Justice Index; American Community Survey; Census TIGER/Line; PRISM Climate Data; gridMET; NOAA nClimGrid/EpiNOAA; FEMA National Risk Index; EPA WATERS/NHDPlus; USGS Landsat; USDA Cropland Data Layer; USFS Tree Canopy Cover data</t>
  </si>
  <si>
    <t>Remote-sensing classification product rather than direct field observation or parcel-level land-use data. A 30-meter cell may contain several surface types, while the land-cover product assigns the predominant class. Classification accuracy varies by class, geography, year, and type of change. Small roads, buildings, narrow waterways, fragmented greenspace, and other features below the spatial resolution may be missed or generalized. Land cover should not be treated as equivalent to zoning, ownership, parcel use, or personal environmental exposure. Apparent annual changes can include classification artifacts. Current Annual NLCD Collection products should not be combined naïvely with legacy NLCD releases because methods, classes, and processing differ. The current core annual suite covers the conterminous United States and does not provide equivalent land-cover coverage for Alaska, Hawaii, or U.S. territories.</t>
  </si>
  <si>
    <t>Public non-human geospatial data with no individual privacy restrictions. Annual NLCD science products have no use restrictions and USGS EROS data are generally public domain, although formal citation is recommended. Document the Annual NLCD collection and version, mapping years, selected products, spatial resolution, class legend, projection, extraction date, study-area boundaries, buffer or aggregation method, and treatment of classification confidence. When linking raster-derived indicators to protected health records, follow the governance requirements of the health dataset and do not describe area-level land cover as an individually measured exposure.</t>
  </si>
  <si>
    <t>DS-090</t>
  </si>
  <si>
    <t>USGS Protected Areas Database of the U.S. (PAD-US)</t>
  </si>
  <si>
    <t>USGS PAD-US Data Overview and Downloads</t>
  </si>
  <si>
    <t>https://www.usgs.gov/programs/gap-analysis-project/science/pad-us-data-overview</t>
  </si>
  <si>
    <t>National geospatial inventory of public lands, protected areas, conservation easements, marine protected areas, management designations, and other open-space lands and waters, including conservation status, ownership or management, and general public-access information.</t>
  </si>
  <si>
    <t>Public national and state geodatabases, vector and raster analysis files, KMZ files, ArcGIS web services, interactive Data Explorer, and summary-statistics dashboard.</t>
  </si>
  <si>
    <t>Environmental exposure; Protected areas; Public lands; Parks; Open space; Greenspace; Recreation access; Biodiversity; Conservation; Land management; Cultural resources; Emergency planning</t>
  </si>
  <si>
    <t>PAD-US; Protected Areas Database of the United States; USGS Gap Analysis Project; public lands; protected areas; parks; open space; conservation easement; recreation access; public access; wilderness; national park; state park; wildlife refuge; forest; marine protected area; land management; greenspace access; South Carolina protected lands</t>
  </si>
  <si>
    <t>Protected lands; public lands; parks; open space; recreation access; biodiversity conservation; land ownership; land management; conservation easements; wilderness; natural-resource management; marine protected areas; cultural and historic areas</t>
  </si>
  <si>
    <t>Residents and communities located near, or potentially served by, public lands, protected areas, parks, conservation lands, and other open-space lands and waters</t>
  </si>
  <si>
    <t>Protected-area or management-boundary polygon; public-land parcel; conservation easement; marine protected area; county; state</t>
  </si>
  <si>
    <t>Versioned releases; latest version PAD-US 4.1 released March 2025; establishment-year information is incomplete</t>
  </si>
  <si>
    <t>Irregular/periodic; updated as federal, state, local, Tribal, and nonprofit source data become available</t>
  </si>
  <si>
    <t>Protected-area name; local name; owner name and type; manager name and type; primary and secondary designation; protection-mechanism category; GAP conservation-status code; IUCN category; public-access category; feature class; establishment year where available; state; county; acreage; geographic geometry; data source; data steward; PAD-US version</t>
  </si>
  <si>
    <t>Calculate proximity to protected open space; estimate the percentage of protected or publicly accessible land around communities; examine differences in access to nature across demographic groups; characterize greenspace and recreation context around HIV-service locations; study rurality and undeveloped-land context; identify public lands relevant to wildfire or emergency planning; combine protected-area boundaries with NLCD, EnviroAtlas, census, climate, or health data</t>
  </si>
  <si>
    <t>Annual National Land Cover Database; EPA EnviroAtlas; Trust for Public Land ParkServe; American Community Survey; Census TIGER/Line; CDC/ATSDR Environmental Justice Index; EPA EJScreen; FEMA National Risk Index; USGS National Map; state and local parks or recreation datasets</t>
  </si>
  <si>
    <t>PAD-US is a boundary and management inventory, not a measure of biodiversity quality, greenspace quality, park amenities, walkability, actual visitation, personal access, environmental exposure, or health benefit. Public-access classifications are general and may not capture entrances, hours, fees, seasonal restrictions, safety, transportation barriers, disability access, or local closures. Coverage and update dates vary among federal, state, local, Tribal, and nonprofit contributors. Protected-area polygons may overlap because ownership, easements, and management designations represent different legal interests. USGS discourages comparing releases as a simple longitudinal series because apparent changes can reflect improved source data or GIS processing rather than real acquisitions or changes in protection.</t>
  </si>
  <si>
    <t>Public non-human geospatial data released for public use. Document the PAD-US version, feature classes, public-access categories, overlap-handling procedure, coordinate system, extraction date, and spatial aggregation method. Linking protected-area proximity to restricted health records requires compliance with the governance requirements of the health dataset. Do not treat nearby protected land as evidence that an individual uses or can readily access that land.</t>
  </si>
  <si>
    <t>DS-091</t>
  </si>
  <si>
    <t>USGS Estimated Annual Agricultural Pesticide Use</t>
  </si>
  <si>
    <t>USGS / MRLC</t>
  </si>
  <si>
    <t>https://www.usgs.gov/tools/estimated-annual-agricultural-pesticide-use</t>
  </si>
  <si>
    <t>Annual county-level estimates of agricultural pesticide use for hundreds of pesticide compounds in the conterminous United States, with maps and state-level crop-group summaries for evaluating national and regional patterns, trends, potential environmental loading, and agricultural exposure context.</t>
  </si>
  <si>
    <t>Public interactive pesticide maps, annual county-level tab-delimited data files, state-level crop-group tables, USGS data releases, metadata, and methodological documentation; no registration required.</t>
  </si>
  <si>
    <t>Agricultural pesticide use; herbicides; insecticides; fungicides; crop chemicals; pesticide trends; agricultural chemical loading; surface-water contamination potential; groundwater contamination potential; rural environmental exposure</t>
  </si>
  <si>
    <t>Agricultural lands and populations living, working, obtaining water, or receiving services in areas where agricultural pesticides are estimated to be used</t>
  </si>
  <si>
    <t>County; agricultural land within county for mapped displays; state and crop group for selected summaries</t>
  </si>
  <si>
    <t>1992–2019 currently available; 2018–2019 estimates are preliminary. USGS states that final estimates for 2018–2022 are planned for publication in 2026, but I could not verify their release as of July 23, 2026.</t>
  </si>
  <si>
    <t>Planned annual preliminary estimates, with final estimates revised approximately every five years following release of the USDA Census of Agriculture; historical publication has been irregular.</t>
  </si>
  <si>
    <t>Pesticide compound name; year; state FIPS code; county FIPS code; low estimated use in kilograms; high estimated use in kilograms; state; county; crop or crop group in state-level files; mapped agricultural area; preliminary or final estimate status</t>
  </si>
  <si>
    <t>Estimate county-level agricultural pesticide burden; examine associations between pesticide-use patterns and cancer, neurologic, reproductive, respiratory, endocrine, infectious-disease, or other health outcomes; characterize rural environmental conditions for HIV disparities research; assess potential pesticide contributions to surface-water or groundwater contamination; study trends in individual pesticide compounds; identify counties for targeted water-quality monitoring; link pesticide estimates with crop cover, drinking-water sources, socioeconomic conditions, and health outcomes</t>
  </si>
  <si>
    <t>Water Quality Portal; USGS Water Data for the Nation; EPA ATTAINS; EPA WATERS/NHDPlus; USDA Census of Agriculture; USDA Cropland Data Layer; Annual National Land Cover Database; EPA Pesticide Product and Label System; EPA Chemical Data Reporting; PRISM Climate Data; gridMET; American Community Survey; CDC/ATSDR Environmental Justice Index; South Carolina agricultural and pesticide-regulatory data</t>
  </si>
  <si>
    <t>Estimated agricultural use rather than verified field-, farm-, or applicator-level pesticide application records. For most states, proprietary pesticide-use surveys are reported at the multi-county Crop Reporting District level and combined with county harvested-acreage data to estimate county values. When survey information is incomplete, USGS publishes low and high estimates based on different assumptions. Reliability generally decreases at finer geographic scales, and USGS states that the estimates are not intended for detailed comparisons within or between individual counties. Maps allocate county estimates to agricultural land but do not identify exact treated fields. The data exclude most nonagricultural uses, including residential, structural, roadside, forestry, and many public-health applications. Pesticide use does not equal environmental concentration, human dose, drift, residue, or health risk. Compound coverage changes between years. Seed-treatment estimates were discontinued beginning in 2015, creating a temporal comparability issue. Recent estimates may be preliminary and later revised.</t>
  </si>
  <si>
    <t>Public aggregate environmental data with no individual or farm identifiers. USGS data releases are publicly available and should be cited with the specific release, year range, version, and access date. Linking county pesticide estimates to protected HIV, clinical, claims, or surveillance data requires compliance with the governance requirements of the health dataset. Do not characterize county-level pesticide use as confirmed exposure for individuals. Document the compounds selected, low-versus-high estimate choice, preliminary-versus-final status, county crosswalk, year range, and spatial-linkage method.</t>
  </si>
  <si>
    <t>DS-092</t>
  </si>
  <si>
    <t>South Carolina Department of Environmental Services GIS Hub</t>
  </si>
  <si>
    <t>SCDES GIS Hub</t>
  </si>
  <si>
    <t>https://gis.des.sc.gov/SCDES_GIS_HUB/</t>
  </si>
  <si>
    <t>Statewide environmental GIS hub for discovering, viewing, analyzing, downloading, and accessing SCDES maps, dashboards, applications, datasets, APIs, and GIS services</t>
  </si>
  <si>
    <t>Public access without authentication for public datasets; downloads may include CSV, KML, ZIP, GeoJSON, GeoTIFF, and PNG, with GeoServices, WMS, and WFS links available for applicable layers.</t>
  </si>
  <si>
    <t>Environmental exposure; SDOH/geospatial; air quality; water quality; coastal resources; land and waste; permits; monitoring; regulatory facilities</t>
  </si>
  <si>
    <t>South Carolina environmental GIS, SCDES, air quality, water quality, coastal GIS, hazardous waste, landfills, mines, permits, monitoring stations, PFAS, dams, watersheds, ArcGIS</t>
  </si>
  <si>
    <t>Air, water, coastal management, land and waste management, environmental monitoring, regulated facilities, permits, contamination, watersheds and environmental hazards</t>
  </si>
  <si>
    <t>South Carolina environmental features, monitoring locations, regulated facilities, permitted sites, water bodies, coastal areas and communities</t>
  </si>
  <si>
    <t>Monitoring site, facility, permit location, water body, watershed, coastal feature, parcel, point, line, polygon or raster; varies by layer</t>
  </si>
  <si>
    <t>Varies by dataset and application; no unified date range</t>
  </si>
  <si>
    <t>Varies by layer and program</t>
  </si>
  <si>
    <t>Coordinates, facility or site name, permit identifiers, environmental-program category, monitoring location, watershed, water body, county, status, boundaries, pollutant or parameter attributes and application-specific measures</t>
  </si>
  <si>
    <t>Environmental-exposure linkage; proximity and buffer analysis; mapping regulated facilities; watershed and coastal analyses; environmental-justice research; identifying permits, monitoring sites and potential exposure sources</t>
  </si>
  <si>
    <t>EPA ECHO; EPA FRS; EPA TRI; Water Quality Portal; ATTAINS; How’s My Waterway; SCDNR GIS Open Data; Annual NLCD; FEMA National Risk Index; American Community Survey</t>
  </si>
  <si>
    <t>This is a collection of independently maintained layers rather than one harmonized dataset. Definitions, geographic resolution, vintages and update schedules vary. SCDES states that data may contain errors or omissions, are supplied as-is and should not be treated as legal, engineering or professional advice.</t>
  </si>
  <si>
    <t>Public data generally do not require authentication, but service use may be logged. Review each layer’s metadata, attribution and terms; do not attempt to access nonpublic underlying systems or data.</t>
  </si>
  <si>
    <t>DS-093</t>
  </si>
  <si>
    <t>South Carolina Water Monitoring Portal</t>
  </si>
  <si>
    <t>USDA ERS</t>
  </si>
  <si>
    <t>https://www.scseagrant.org/sc-water-monitoring-portal/</t>
  </si>
  <si>
    <t>ArcGIS-based statewide application for visualizing, filtering and downloading South Carolina water-quality monitoring results</t>
  </si>
  <si>
    <t>Public interactive map with filters for water-quality category, sample date, submitting organization, county, watershed and sub-watershed; users may download selected data.</t>
  </si>
  <si>
    <t>Environmental exposure; water quality; surface water; monitoring sites; watersheds; bacteria; nutrients; impaired waters; TMDLs</t>
  </si>
  <si>
    <t>South Carolina water quality, water monitoring, SC Sea Grant, College of Charleston, Water Quality Portal, monitoring stations, bacteria, nutrients, county, HUC10, HUC12, watershed, impaired waters, TMDL</t>
  </si>
  <si>
    <t>Surface-water quality, monitoring locations, physical and chemical parameters, bacteria, nutrients, watershed conditions, impaired waters and TMDLs</t>
  </si>
  <si>
    <t>South Carolina water-quality monitoring sites, samples, water bodies and watersheds</t>
  </si>
  <si>
    <t>Monitoring site, sample location, county, watershed, sub-watershed and water body</t>
  </si>
  <si>
    <t>Varies by monitoring organization and parameter; no single unified date range stated</t>
  </si>
  <si>
    <t>Irregular; dependent on updates from the Water Quality Portal and contributing organizations</t>
  </si>
  <si>
    <t>Monitoring-site identifier, coordinates, collection date, submitting organization, county, watershed, parameter or characteristic name, result value, unit, sample medium and water-quality category</t>
  </si>
  <si>
    <t>Link water-quality measurements to communities or health outcomes; identify monitoring coverage; evaluate spatial and temporal water-quality trends; examine bacteria or nutrient measurements; support watershed and environmental-exposure studies</t>
  </si>
  <si>
    <t>National Water Quality Portal; SCDES GIS Hub; SCDES Watershed Atlas; ATTAINS; How’s My Waterway; WATERS; USGS stream gauges; Census TIGER/Line; American Community Survey</t>
  </si>
  <si>
    <t>The portal integrates data from multiple organizations, so sampling designs, parameters, laboratory methods, detection limits, units and temporal coverage differ. The current application is also reporting failures when loading several core layers, including site data, data volume by county, impaired waters and approved TMDL sites.</t>
  </si>
  <si>
    <t>Public environmental-monitoring data. Retain the submitting-organization identifier, site identifier, result qualifiers, units, analytical method and detection-limit fields. Use the original provider or national Water Quality Portal for reproducible extraction and source verification</t>
  </si>
  <si>
    <t>DS-094</t>
  </si>
  <si>
    <t>South Carolina Department of Natural Resources GIS Open Data</t>
  </si>
  <si>
    <t>SCDNR ArcGIS Online</t>
  </si>
  <si>
    <t>https://scdnr.maps.arcgis.com/home/</t>
  </si>
  <si>
    <t>Statewide GIS layers, web maps, applications and spatial services covering natural resources, geology, hydrology, wildlife, habitats, public lands, elevation and related environmental features</t>
  </si>
  <si>
    <t>Public ArcGIS Online content, web maps, map services and downloadable GIS products; availability and formats vary by layer, and some specialized products require a request</t>
  </si>
  <si>
    <t>Environmental exposure; SDOH/geospatial; hydrology; geology; wildlife; habitats; public lands; elevation</t>
  </si>
  <si>
    <t>South Carolina GIS, SCDNR, natural resources, wildlife, habitat, hydrology, geology, public lands, LiDAR, elevation, wetlands, coastal resources, ArcGIS</t>
  </si>
  <si>
    <t>Natural resources, land and water resources, biodiversity, coastal resources, geology, elevation, managed lands and environmental context</t>
  </si>
  <si>
    <t>South Carolina environment, natural resources, wildlife habitats, water resources, land areas and managed properties</t>
  </si>
  <si>
    <t>Statewide layers; county; watershed; parcel or managed-land tract; point, line, polygon, raster and site-specific features</t>
  </si>
  <si>
    <t>Varies substantially by layer and project; historical and current products are mixed</t>
  </si>
  <si>
    <t>Irregular/by layer</t>
  </si>
  <si>
    <t>Coordinates, boundaries, land ownership or management, habitat type, hydrography, elevation, geology, wells, protected lands, species or biological resources and layer-specific attributes</t>
  </si>
  <si>
    <t>Environmental exposure linkage; proximity and buffer analysis; rural and natural-resource context; watershed linkage; public-land access; habitat and coastal analyses; map development</t>
  </si>
  <si>
    <t>SCDES GIS Hub; EPA EnviroAtlas; Annual NLCD; PAD-US; WQP; FEMA National Risk Index; Census TIGER/Line; ACS</t>
  </si>
  <si>
    <t>Broad portal rather than one standardized dataset; metadata, dates, resolution, completeness and update schedules differ by layer; boundaries may not be legally authoritative; some older products remain available; specialized GIS software may be required</t>
  </si>
  <si>
    <t>Public data are generally provided as-is; review each layer’s metadata, use limitations, attribution requirements and positional-accuracy statements before analysis</t>
  </si>
  <si>
    <t>DS-095</t>
  </si>
  <si>
    <t>South Carolina DPH Data, Maps, Reports</t>
  </si>
  <si>
    <t>SC Sea Grant / College of Charleston</t>
  </si>
  <si>
    <t>Central portal for South Carolina public-health dashboards, surveillance reports, statistics, maps and topic-specific data products</t>
  </si>
  <si>
    <t>Public dashboards, reports, maps and downloadable summary tables; confidential or record-level health data are not generally distributed through the public portal</t>
  </si>
  <si>
    <t>Chronic disease; cancer; maternal/child health; mental health; substance use; HIV/infectious disease; environmental health; vital statistics</t>
  </si>
  <si>
    <t>South Carolina public health, SCDPH, health dashboard, county health, vital statistics, disease surveillance, HIV, AIDS, STD, mortality, births, environmental health</t>
  </si>
  <si>
    <t>Population health, disease surveillance, mortality, morbidity, maternal and child health, infectious disease, HIV/STIs, overdose, environmental health and health-care indicators</t>
  </si>
  <si>
    <t>South Carolina residents and topic-specific subpopulations represented in public-health surveillance systems</t>
  </si>
  <si>
    <t>State, county, health region and other topic-specific reporting geographies</t>
  </si>
  <si>
    <t>Varies by program; many reports and dashboards contain annual or multi-year trends, with some historical series extending several decades</t>
  </si>
  <si>
    <t>Varies by program: weekly, monthly, quarterly, annual or irregular</t>
  </si>
  <si>
    <t>Counts, rates, percentages, prevalence, incidence, mortality, demographics, age, sex, race/ethnicity, county, year, disease indicators, risk factors and health outcomes</t>
  </si>
  <si>
    <t>County health profiles; public-health needs assessment; disease-trend analysis; HIV and infectious-disease context; disparity analysis; surveillance summaries; grant and program planning</t>
  </si>
  <si>
    <t>CDC PLACES; CDC WONDER; CDC AtlasPlus; BRFSS; ACS; County Health Rankings; South Carolina Health Compass; SC Tracking; South Carolina vital-statistics reports</t>
  </si>
  <si>
    <t>Broad collection rather than one harmonized dataset; definitions, denominators, periods and update schedules differ by program; dashboards may suppress unstable or confidential estimates; some reports provide PDFs rather than analysis-ready files</t>
  </si>
  <si>
    <t>Public products are primarily aggregated or de-identified; small counts may be suppressed; access to identifiable surveillance, vital-record or patient-level data requires separate authorization and governance review</t>
  </si>
  <si>
    <t>DS-096</t>
  </si>
  <si>
    <t>SCDNR GIS Open Data</t>
  </si>
  <si>
    <t>https://data-scdnr.opendata.arcgis.com/</t>
  </si>
  <si>
    <t>Public GIS hub for discovering, viewing, downloading, and accessing South Carolina natural-resource and environmental spatial datasets</t>
  </si>
  <si>
    <t>Public ArcGIS Hub; downloadable formats include CSV, KML, ZIP, GeoJSON, GeoTIFF, and PNG; GeoServices, WMS, WFS, and other API links may be available by layer</t>
  </si>
  <si>
    <t>Environmental exposure; SDOH/geospatial; land cover; geology; hydrology; biodiversity; wildlife; coastal resources; public lands</t>
  </si>
  <si>
    <t>SCDNR, South Carolina GIS, natural resources, environmental GIS, geology, hydrology, wildlife, habitat, public lands, coastal resources, land cover, LiDAR, ArcGIS</t>
  </si>
  <si>
    <t>Natural resources, land cover, geology, elevation, hydrography, habitats, wildlife, fisheries, coastal resources, public lands and recreational access</t>
  </si>
  <si>
    <t>South Carolina lands, waters, natural resources, habitats, wildlife populations and managed properties</t>
  </si>
  <si>
    <t>Points, sites, lines, polygons, watersheds, counties, managed-land tracts and raster grid cells; varies by layer</t>
  </si>
  <si>
    <t>Varies by dataset; includes current and historical layers with no unified date range</t>
  </si>
  <si>
    <t>Irregular/by dataset</t>
  </si>
  <si>
    <t>Coordinates, feature boundaries, area, land-cover class, elevation, geology, hydrography, habitat type, species-related attributes, ownership or management status, facility or access-point characteristics</t>
  </si>
  <si>
    <t>Environmental and geographic linkage; proximity and buffer analysis; watershed context; habitat and biodiversity research; public-land and recreation access; rural and coastal analyses</t>
  </si>
  <si>
    <t>SCDES GIS Hub; Annual NLCD; PAD-US; Water Quality Portal; PRISM; gridMET; FEMA National Risk Index; Census TIGER/Line; American Community Survey</t>
  </si>
  <si>
    <t>Portal contains many independently produced layers; vintages, completeness, resolution, coordinate systems and update schedules differ; some layers are historical; mapped boundaries may not represent legal property boundaries</t>
  </si>
  <si>
    <t>Review each layer’s metadata, attribution, license and use constraints; retain source agency and dataset version; do not treat reference boundaries as legally authoritative</t>
  </si>
  <si>
    <t>DS-097</t>
  </si>
  <si>
    <t>Data, Maps, Reports</t>
  </si>
  <si>
    <t>https://dph.sc.gov/public/data-maps-reports</t>
  </si>
  <si>
    <t>Public landing page for interactive health applications, service-location maps, monitoring tools, assessments and other South Carolina public-health mapping products</t>
  </si>
  <si>
    <t>Public web applications and interactive maps; download, API and export functionality vary by individual application; no unified bulk download</t>
  </si>
  <si>
    <t>HIV/infectious disease; health care utilization/cost; SDOH/geospatial; cancer; environmental exposure; food/nutrition; provider locations</t>
  </si>
  <si>
    <t>South Carolina DPH, health maps, health applications, clinic locator, HIV clinic, STD clinic, hepatitis clinic, health facility, cancer map, rabies, mosquito disease, food desert, vaccine location</t>
  </si>
  <si>
    <t>Health-service access, clinic and facility locations, vaccination, cancer, HIV/STI/hepatitis services, mosquito-borne disease, rabies, food markets and food access</t>
  </si>
  <si>
    <t>South Carolina residents, health-service users, facilities, providers and populations represented in application-specific public-health data</t>
  </si>
  <si>
    <t>State, county, facility, clinic, provider location, service area and other application-specific geography</t>
  </si>
  <si>
    <t>Varies by application; no unified date range</t>
  </si>
  <si>
    <t>Varies by application</t>
  </si>
  <si>
    <t>Facility or clinic name, service type, address, coordinates, county, provider category, disease or monitoring indicator, counts, rates and application-specific geographic measures</t>
  </si>
  <si>
    <t>Locate HIV/STI/hepatitis clinics and other health services; map geographic access to care; identify facility locations; support community needs assessments; examine food access and selected public-health monitoring indicators</t>
  </si>
  <si>
    <t>SC DPH Public Health Data; SC DPH All Data Dashboards; SC Tracking; SC Health Compass; HIV, AIDS &amp; STDs Data and Reports; Census TIGER/Line; American Community Survey</t>
  </si>
  <si>
    <t>This is an application directory rather than one harmonized dataset; content, definitions, years, refresh schedules and export options differ by application; some tools are designed for service discovery rather than statistical analysis</t>
  </si>
  <si>
    <t>Public products generally contain aggregated, nonidentifiable or facility-location information; individual-level surveillance and clinical records require separate authorization; review each application’s privacy and suppression rules</t>
  </si>
  <si>
    <t>DS-098</t>
  </si>
  <si>
    <t>National Survey of Children's Health</t>
  </si>
  <si>
    <t>The Natonal Survey of Children's Health</t>
  </si>
  <si>
    <t>https://www.childhealthdata.org/learn-about-the-nsch/NSCH</t>
  </si>
  <si>
    <t>DS-099</t>
  </si>
  <si>
    <t>National Ambulatory Medical Care Survey</t>
  </si>
  <si>
    <t>National Ambulatory Medica Care Survey</t>
  </si>
  <si>
    <t>https://www.cdc.gov/nchs/namcs/about/index.html</t>
  </si>
  <si>
    <t>DS-100</t>
  </si>
  <si>
    <t>National Hospital Care Survey</t>
  </si>
  <si>
    <t>National Hospital Care Survey | NHCS | CDC</t>
  </si>
  <si>
    <t>DS-101</t>
  </si>
  <si>
    <t>National Notifiable Diseases Surveillance System</t>
  </si>
  <si>
    <t>National Notifiable Diseases Surveilance System (NNDSS)</t>
  </si>
  <si>
    <t>Site Index | National Notifiable Diseases Surveillance System (NNDSS) | CDC</t>
  </si>
  <si>
    <t>DS-102</t>
  </si>
  <si>
    <t>National Sleep Research Resource</t>
  </si>
  <si>
    <t>Sleep Data - National Sleep Research Resource - NSRR</t>
  </si>
  <si>
    <t>DS-103</t>
  </si>
  <si>
    <t>NIMH Data Archive</t>
  </si>
  <si>
    <t>NIMH Data Archive - NDA</t>
  </si>
  <si>
    <t>DS-104</t>
  </si>
  <si>
    <t>United States Renal Data System</t>
  </si>
  <si>
    <t>The United States Renal Data System (USRDS)</t>
  </si>
  <si>
    <t>United States Renal Data System - USRDS - NIDDK</t>
  </si>
  <si>
    <t>DS-105</t>
  </si>
  <si>
    <t>National Emergency Medical Services Information System</t>
  </si>
  <si>
    <t>NEMSIS</t>
  </si>
  <si>
    <t>Home - NEMSIS</t>
  </si>
  <si>
    <t>DS-106</t>
  </si>
  <si>
    <t>Health Information National Trends Survey</t>
  </si>
  <si>
    <t>HINTS</t>
  </si>
  <si>
    <t>Health Information National Trends Survey | HINTS</t>
  </si>
  <si>
    <t>Nationally representative data about the American public's knowledge of, attitudes toward, and use of cancer- and health-related information</t>
  </si>
  <si>
    <t>MACS/WIHS Combined Cohort Study (MWCCS)</t>
  </si>
  <si>
    <t>https://statepi.jhsph.edu/mwccs/</t>
  </si>
  <si>
    <t>Longitudinal U.S. cohort of adults with and without HIV, containing data on HIV status and treatment, chronic conditions, laboratory measures, behaviors, mental health, and aging. Supports research on HIV, comorbidities, health disparities, and long-term health outcomes.</t>
  </si>
  <si>
    <t>chronic disease; aging; cancer; mental health; substance use; EHR/clinical; genomics/molecular; clinical trials; food/nutrition; health care utilization/cost; SDOH/geospatial</t>
  </si>
  <si>
    <t>HIV; human immunodeficiency virus; AIDS; PLWH; people living with HIV; MACS; Multicenter AIDS Cohort Study; WIHS; Women's Interagency HIV Study; MWCCS; MACS/WIHS Combined Cohort Study; longitudinal; observational; HIV treatment; antiretroviral therapy; ART; CD4; chronic disease; aging</t>
  </si>
  <si>
    <t>HIV/AIDS; cardiovascular disease; metabolic disease; kidney disease; cancer; mental health; substance use; aging; reproductive health</t>
  </si>
  <si>
    <t>MACS was a study of gay and bisexual men, while WIHS was a study of women who had other risk factors for HIV. The MWCCS integrates these two longstanding, longitudinal studies and will continue follow-up of the current participants enrolled at 13 MACS/WIHS clinical research sites (CRS) in addition to recruiting new participants with characteristics that reflect the U.S. population living with HIV or at risk for HIV.</t>
  </si>
  <si>
    <t>1984-present (MACS); 1994-present (WIHS); combined as MWCCS beginning in 2019</t>
  </si>
  <si>
    <t>demographics; HIV status; HIV viral load; CD4 T-cell count; antiretroviral therapy; HIV treatment history; HIV disease progression; AIDS diagnoses; comorbidities; cardiovascular disease; hypertension; diabetes; obesity; kidney disease; pulmonary disease; sleep disorders; cancer; mental health; depressive symptoms; substance use; alcohol use; tobacco use; medication use; reproductive health; sexual behavior; socioeconomic factors; health behaviors; physical functioning; laboratory measures; biomarkers; mortality; clinical outcomes; biological specimens; serum; plasma</t>
  </si>
  <si>
    <t>HIV treatment and outcomes research; HIV disease progression; mortality; chronic disease; cardiovascular disease  and HIV; kidney disease and HIV; aging and HIV; mental health and HIV; substance use and HIV; health disparities; reproductive health; longitudinal risk-factor studies; biomarker and laboratory studies; epidemiology and disease outcomes; observational cohort studies</t>
  </si>
  <si>
    <t>All of Us Research Program; National Health and Nutrition Examination Survey (NHANES); National HIV Surveillance System; Medical Monitoring Project (MMP); National Vital Statistics System (NVSS); CDC Behavioral Risk Factor Surveillance System (BRFSS); HCUP</t>
  </si>
  <si>
    <t>Historical MACS and WIHS cohorts have different recruitment histories and participant characteristics, which may affect analyses. Some variables and participant-level information are restricted due to privacy and data-use requirements. Confirm the applicable Public Use Data Set vs. controlled/confidential data access requirements and check availability of variables of interest.</t>
  </si>
  <si>
    <t>Public use data set is available through an access request process, while confidential/restricted data require an approved research request and are subject to participant privacy protections and data-use requirements.</t>
  </si>
  <si>
    <t>macs/wihs combined cohort study (mwccs) macs/wihs combined cohort study (mwccs) longitudinal u.s. cohort of adults with and without hiv, containing data on hiv status and treatment, chronic conditions, laboratory measures, behaviors, mental health, and aging. supports research on hiv, comorbidities, health disparities, and long-term health outcomes. public-use plus restricted files public-use plus restricted files hiv/infectious disease chronic disease; aging; cancer; mental health; substance use; ehr/clinical; genomics/molecular; clinical trials; food/nutrition; health care utilization/cost; sdoh/geospatial hiv; human immunodeficiency virus; aids; plwh; people living with hiv; macs; multicenter aids cohort study; wihs; women's interagency hiv study; mwccs; macs/wihs combined cohort study; longitudinal; observational; hiv treatment; antiretroviral therapy; art; cd4; chronic disease; aging cohort/longitudinal hiv/aids; cardiovascular disease; metabolic disease; kidney disease; cancer; mental health; substance use; aging; reproductive health macs was a study of gay and bisexual men, while wihs was a study of women who had other risk factors for hiv. the mwccs integrates these two longstanding, longitudinal studies and will continue follow-up of the current participants enrolled at 13 macs/wihs clinical research sites (crs) in addition to recruiting new participants with characteristics that reflect the u.s. population living with hiv or at risk for hiv. united states other individual medium demographics; hiv status; hiv viral load; cd4 t-cell count; antiretroviral therapy; hiv treatment history; hiv disease progression; aids diagnoses; comorbidities; cardiovascular disease; hypertension; diabetes; obesity; kidney disease; pulmonary disease; sleep disorders; cancer; mental health; depressive symptoms; substance use; alcohol use; tobacco use; medication use; reproductive health; sexual behavior; socioeconomic factors; health behaviors; physical functioning; laboratory measures; biomarkers; mortality; clinical outcomes; biological specimens; serum; plasma hiv treatment and outcomes research; hiv disease progression; mortality; chronic disease; cardiovascular disease  and hiv; kidney disease and hiv; aging and hiv; mental health and hiv; substance use and hiv; health disparities; reproductive health; longitudinal risk-factor studies; biomarker and laboratory studies; epidemiology and disease outcomes; observational cohort studies all of us research program; national health and nutrition examination survey (nhanes); national hiv surveillance system; medical monitoring project (mmp); national vital statistics system (nvss); cdc behavioral risk factor surveillance system (brfss); hcup historical macs and wihs cohorts have different recruitment histories and participant characteristics, which may affect analyses. some variables and participant-level information are restricted due to privacy and data-use requirements. confirm the applicable public use data set vs. controlled/confidential data access requirements and check availability of variables of interest. public use data set is available through an access request process, while confidential/restricted data require an approved research request and are subject to participant privacy protections and data-use requirements.</t>
  </si>
  <si>
    <t>DS-107</t>
  </si>
  <si>
    <t>https://www.epa.gov/superfund/superfund-data-and-reports</t>
  </si>
  <si>
    <t>https://www.epa.gov/AirToxScreen</t>
  </si>
  <si>
    <t>https://www.epa.gov/aqs</t>
  </si>
  <si>
    <t>https://www.epa.gov/outdoor-air-quality-data</t>
  </si>
  <si>
    <t>https://ephtracking.cdc.gov/Applications/heatTracker/</t>
  </si>
  <si>
    <t>https://wonder.cdc.gov</t>
  </si>
  <si>
    <t>https://data.cdc.gov/Environmental-Health-Toxicology/Daily-Census-Tract-Level-PM2-5-Concentrations-2016/96sd-hxdt/about_data</t>
  </si>
  <si>
    <t>CDC Daily Census Tract-Level PM2.5 Data</t>
  </si>
  <si>
    <t>UseDaily census tract-level predictions of outdoor fine particulate matter concentrations from EPA’s Downscaler model, distributed by CDC’s National Environmental Public Health Tracking Network for 2016–2020. Includes estimated 24-hour average PM2.5 concentrations and associated standard errors. Supports geographic exposure assessment, air-pollution trend analysis, and linkage with separately obtained health and demographic data.</t>
  </si>
  <si>
    <t>StandardizedOpen/public with terms</t>
  </si>
  <si>
    <t>Envionmental exposure</t>
  </si>
  <si>
    <t>SDOH/geospatial; Air quality; Environmental health; Ambient air pollution; Exposure assessment; Environmental epidemiology; Time-series data</t>
  </si>
  <si>
    <t>Daily Census Tract-Level PM2.5 Concentrations; CDC; National Environmental Public Health Tracking Network; EPA Downscaler; fine particulate matter; PM2.5; PM 2.5; particulate pollution; outdoor air pollution; ambient air quality; daily air pollution; 24-hour average concentration; modeled exposure; predicted concentration; prediction uncertainty; standard error; Bayesian downscaling; Community Multiscale Air Quality; CMAQ; census tract; tract FIPS; geographic exposure linkage; air pollution time series; short-term exposure; long-term exposure; environmental disparities; South Carolina</t>
  </si>
  <si>
    <t>Ambient air quality; Fine particulate matter; Environmental exposure assessment; Environmental epidemiology; Geographic exposure disparities; Air pollution and health</t>
  </si>
  <si>
    <t>Environmental predictions for census tract locations across the contiguous United States, representing outdoor air-quality conditions relevant to residents of those areas. No individual participants, patient records, or personal exposure measurements are included.</t>
  </si>
  <si>
    <t>Census tract; includes state, county, and census tract FIPS codes and fields labeled as tract-centroid coordinates. Verify geographic vintage and coordinate accuracy before linkage.</t>
  </si>
  <si>
    <t>2016-2020</t>
  </si>
  <si>
    <t>Historical release; no regular update schedule verified for this specific dataset</t>
  </si>
  <si>
    <t>Prediction year; prediction date; state FIPS code; county FIPS code; census tract FIPS code; tract-centroid latitude and longitude fields; mean estimated 24-hour average PM2.5 concentration in µg/m³; standard error of the estimated concentration</t>
  </si>
  <si>
    <t>Map daily and seasonal PM2.5 patterns in South Carolina; calculate tract-level exposure summaries for defined study periods; compare pollution burdens across communities after geographic harmonization; link daily pollution estimates with separately obtained emergency visits or hospitalizations; construct lagged exposure measures for environmental epidemiology; assess sensitivity of findings to prediction uncertainty</t>
  </si>
  <si>
    <t>EPA Air Quality System; EPA Downscaler annual technical reports and output files; U.S. Census Bureau American Community Survey; U.S. Census Bureau TIGER/Line geographic boundaries and tract relationship files; CDC/ATSDR Social Vulnerability Index; NOAA weather and climate data</t>
  </si>
  <si>
    <t>Concentrations are model predictions rather than direct measurements in every tract or personal exposure estimates. Tract-centroid predictions may miss within-tract variation. The dataset contains no health outcomes or individual demographic records. Verify tract boundary vintages and coverage across years before constructing a panel. Coordinate metadata show unusual ranges that warrant validation before mapping. Account for prediction uncertainty and temporal correlation; this release ends in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</si>
</sst>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u/>
      <sz val="11"/>
      <color theme="10"/>
      <name val="Carlito"/>
    </font>
    <font>
      <sz val="11"/>
      <color rgb="FF000000"/>
      <name val="Carlito"/>
    </font>
    <font>
      <sz val="11"/>
      <color rgb="FF9C0006"/>
      <name val="Calibri"/>
      <family val="2"/>
      <scheme val="minor"/>
    </font>
  </fonts>
  <fills count="5">
    <fill>
      <patternFill patternType="none"/>
    </fill>
    <fill>
      <patternFill patternType="gray125"/>
    </fill>
    <fill>
      <patternFill patternType="solid">
        <fgColor rgb="FF2F75B5"/>
      </patternFill>
    </fill>
    <fill>
      <patternFill patternType="solid">
        <fgColor rgb="FFC0E6F5"/>
        <bgColor rgb="FFC0E6F5"/>
      </patternFill>
    </fill>
    <fill>
      <patternFill patternType="solid">
        <fgColor rgb="FFFFC7CE"/>
      </patternFill>
    </fill>
  </fills>
  <borders count="1">
    <border>
      <left/>
      <right/>
      <top/>
      <bottom/>
      <diagonal/>
    </border>
  </borders>
  <cellStyleXfs count="3">
    <xf numFmtId="0" fontId="0" fillId="0" borderId="0"/>
    <xf numFmtId="0" fontId="2" fillId="0" borderId="0"/>
    <xf numFmtId="0" fontId="4" fillId="4" borderId="0"/>
  </cellStyleXfs>
  <cellXfs count="15">
    <xf numFmtId="0" fontId="0" fillId="0" borderId="0" xfId="0"/>
    <xf numFmtId="0" fontId="0" fillId="0" borderId="0" xfId="0" applyAlignment="1">
      <alignment vertical="top" wrapText="1"/>
    </xf>
    <xf numFmtId="0" fontId="1" fillId="2" borderId="0" xfId="0" applyFont="1" applyFill="1" applyAlignment="1">
      <alignment horizontal="center" vertical="top" wrapText="1"/>
    </xf>
    <xf numFmtId="0" fontId="0" fillId="0" borderId="0" xfId="0" applyAlignment="1">
      <alignment vertical="top"/>
    </xf>
    <xf numFmtId="0" fontId="2" fillId="0" borderId="0" xfId="1" applyAlignment="1">
      <alignment vertical="top" wrapText="1"/>
    </xf>
    <xf numFmtId="14" fontId="0" fillId="0" borderId="0" xfId="0" applyNumberFormat="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3" fillId="3" borderId="0" xfId="0" applyFont="1" applyFill="1" applyAlignment="1">
      <alignment vertical="top" wrapText="1"/>
    </xf>
    <xf numFmtId="0" fontId="3" fillId="0" borderId="0" xfId="0" applyFont="1" applyAlignment="1">
      <alignment vertical="top" wrapText="1"/>
    </xf>
    <xf numFmtId="14" fontId="0" fillId="0" borderId="0" xfId="0" applyNumberFormat="1" applyAlignment="1">
      <alignment vertical="top"/>
    </xf>
    <xf numFmtId="0" fontId="4" fillId="4" borderId="0" xfId="2" applyAlignment="1">
      <alignment vertical="top"/>
    </xf>
    <xf numFmtId="0" fontId="0" fillId="0" borderId="0" xfId="0" applyAlignment="1">
      <alignment wrapText="1"/>
    </xf>
    <xf numFmtId="0" fontId="2" fillId="0" borderId="0" xfId="1" applyAlignment="1">
      <alignment wrapText="1"/>
    </xf>
    <xf numFmtId="0" fontId="2" fillId="0" borderId="0" xfId="1"/>
  </cellXfs>
  <cellStyles count="3">
    <cellStyle name="Bad" xfId="2" builtinId="27"/>
    <cellStyle name="Hyperlink" xfId="1" builtinId="8"/>
    <cellStyle name="Normal" xfId="0" builtinId="0"/>
  </cellStyles>
  <dxfs count="4">
    <dxf>
      <alignment wrapText="1"/>
    </dxf>
    <dxf>
      <alignment vertical="top"/>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PrepTable" displayName="DataPrepTable" ref="A1:AJ105">
  <tableColumns count="36">
    <tableColumn id="1" xr3:uid="{00000000-0010-0000-0000-000001000000}" name="Record ID"/>
    <tableColumn id="2" xr3:uid="{00000000-0010-0000-0000-000002000000}" name="Data Source"/>
    <tableColumn id="3" xr3:uid="{00000000-0010-0000-0000-000003000000}" name="Official Link Text"/>
    <tableColumn id="4" xr3:uid="{00000000-0010-0000-0000-000004000000}" name="Official URL" dataDxfId="3"/>
    <tableColumn id="5" xr3:uid="{00000000-0010-0000-0000-000005000000}" name="Main Data Type / Use" dataDxfId="2"/>
    <tableColumn id="6" xr3:uid="{00000000-0010-0000-0000-000006000000}" name="Raw Access Level"/>
    <tableColumn id="7" xr3:uid="{00000000-0010-0000-0000-000007000000}" name="Access Level Standardized"/>
    <tableColumn id="8" xr3:uid="{00000000-0010-0000-0000-000008000000}" name="Access Burden"/>
    <tableColumn id="9" xr3:uid="{00000000-0010-0000-0000-000009000000}" name="Primary Category"/>
    <tableColumn id="10" xr3:uid="{00000000-0010-0000-0000-00000A000000}" name="Secondary Categories / Tags"/>
    <tableColumn id="11" xr3:uid="{00000000-0010-0000-0000-00000B000000}" name="Keywords for Search"/>
    <tableColumn id="12" xr3:uid="{00000000-0010-0000-0000-00000C000000}" name="Data Type Standardized"/>
    <tableColumn id="13" xr3:uid="{00000000-0010-0000-0000-00000D000000}" name="Topic Area(s)"/>
    <tableColumn id="14" xr3:uid="{00000000-0010-0000-0000-00000E000000}" name="Population"/>
    <tableColumn id="15" xr3:uid="{00000000-0010-0000-0000-00000F000000}" name="Geography Coverage"/>
    <tableColumn id="16" xr3:uid="{00000000-0010-0000-0000-000010000000}" name="Geographic Unit" dataDxfId="1"/>
    <tableColumn id="17" xr3:uid="{00000000-0010-0000-0000-000011000000}" name="Unit of Analysis"/>
    <tableColumn id="18" xr3:uid="{00000000-0010-0000-0000-000012000000}" name="Individual-level Data?"/>
    <tableColumn id="19" xr3:uid="{00000000-0010-0000-0000-000013000000}" name="Area-level Data?"/>
    <tableColumn id="20" xr3:uid="{00000000-0010-0000-0000-000014000000}" name="Longitudinal?"/>
    <tableColumn id="21" xr3:uid="{00000000-0010-0000-0000-000015000000}" name="Years Available" dataDxfId="0"/>
    <tableColumn id="22" xr3:uid="{00000000-0010-0000-0000-000016000000}" name="Refresh Frequency"/>
    <tableColumn id="23" xr3:uid="{00000000-0010-0000-0000-000017000000}" name="Linkage Potential"/>
    <tableColumn id="24" xr3:uid="{00000000-0010-0000-0000-000018000000}" name="South Carolina Relevance"/>
    <tableColumn id="25" xr3:uid="{00000000-0010-0000-0000-000019000000}" name="Common Variables / Measures"/>
    <tableColumn id="26" xr3:uid="{00000000-0010-0000-0000-00001A000000}" name="Suggested Use Cases"/>
    <tableColumn id="27" xr3:uid="{00000000-0010-0000-0000-00001B000000}" name="Companion Datasets"/>
    <tableColumn id="28" xr3:uid="{00000000-0010-0000-0000-00001C000000}" name="Limitations / Cautions"/>
    <tableColumn id="29" xr3:uid="{00000000-0010-0000-0000-00001D000000}" name="Data Governance Notes"/>
    <tableColumn id="30" xr3:uid="{00000000-0010-0000-0000-00001E000000}" name="RDCD Consultation Notes"/>
    <tableColumn id="31" xr3:uid="{00000000-0010-0000-0000-00001F000000}" name="Demo Include?"/>
    <tableColumn id="32" xr3:uid="{00000000-0010-0000-0000-000020000000}" name="Date Verified"/>
    <tableColumn id="33" xr3:uid="{00000000-0010-0000-0000-000021000000}" name="Verified By"/>
    <tableColumn id="34" xr3:uid="{00000000-0010-0000-0000-000022000000}" name="Priority"/>
    <tableColumn id="35" xr3:uid="{00000000-0010-0000-0000-000023000000}" name="Status"/>
    <tableColumn id="36" xr3:uid="{00000000-0010-0000-0000-000024000000}" name="App Search Text">
      <calculatedColumnFormula>LOWER(_xlfn.SINGLE(_xlfn.TEXTJOIN(" ", TRUE, B2, C2, E2, F2, G2, I2, J2, K2, L2, M2, N2, O2, P2, Q2, X2, Y2, Z2, AA2, AB2, AC2, AD2)))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samhsa.gov/data/data-we-collect/mh-cld-mental-health-client-level-data/datafiles" TargetMode="External"/><Relationship Id="rId21" Type="http://schemas.openxmlformats.org/officeDocument/2006/relationships/hyperlink" Target="https://data.cms.gov/" TargetMode="External"/><Relationship Id="rId42" Type="http://schemas.openxmlformats.org/officeDocument/2006/relationships/hyperlink" Target="https://data.worldbank.org/" TargetMode="External"/><Relationship Id="rId47" Type="http://schemas.openxmlformats.org/officeDocument/2006/relationships/hyperlink" Target="https://www.epa.gov/rsei" TargetMode="External"/><Relationship Id="rId63" Type="http://schemas.openxmlformats.org/officeDocument/2006/relationships/hyperlink" Target="https://www.usgs.gov/programs/gap-analysis-project/science/pad-us-data-overview" TargetMode="External"/><Relationship Id="rId68" Type="http://schemas.openxmlformats.org/officeDocument/2006/relationships/hyperlink" Target="https://dph.sc.gov/professionals/public-health-data" TargetMode="External"/><Relationship Id="rId84" Type="http://schemas.openxmlformats.org/officeDocument/2006/relationships/hyperlink" Target="https://www.epa.gov/enviroatlas" TargetMode="External"/><Relationship Id="rId16" Type="http://schemas.openxmlformats.org/officeDocument/2006/relationships/hyperlink" Target="https://www.countyhealthrankings.org/health-data" TargetMode="External"/><Relationship Id="rId11" Type="http://schemas.openxmlformats.org/officeDocument/2006/relationships/hyperlink" Target="https://www.cdc.gov/nchs/nhis/index.html" TargetMode="External"/><Relationship Id="rId32" Type="http://schemas.openxmlformats.org/officeDocument/2006/relationships/hyperlink" Target="https://dbgap.ncbi.nlm.nih.gov/home/" TargetMode="External"/><Relationship Id="rId37" Type="http://schemas.openxmlformats.org/officeDocument/2006/relationships/hyperlink" Target="https://www.fda.gov/drugs/drug-approvals-and-databases/fda-adverse-event-reporting-system-faers-database" TargetMode="External"/><Relationship Id="rId53" Type="http://schemas.openxmlformats.org/officeDocument/2006/relationships/hyperlink" Target="https://www.epa.gov/waterdata/attains" TargetMode="External"/><Relationship Id="rId58" Type="http://schemas.openxmlformats.org/officeDocument/2006/relationships/hyperlink" Target="https://prism.oregonstate.edu/https:/prism.oregonstate.edu/" TargetMode="External"/><Relationship Id="rId74" Type="http://schemas.openxmlformats.org/officeDocument/2006/relationships/hyperlink" Target="https://www.cdc.gov/nndss/site.html" TargetMode="External"/><Relationship Id="rId79" Type="http://schemas.openxmlformats.org/officeDocument/2006/relationships/hyperlink" Target="https://hints.cancer.gov/" TargetMode="External"/><Relationship Id="rId5" Type="http://schemas.openxmlformats.org/officeDocument/2006/relationships/hyperlink" Target="https://biolincc.nhlbi.nih.gov/home/" TargetMode="External"/><Relationship Id="rId19" Type="http://schemas.openxmlformats.org/officeDocument/2006/relationships/hyperlink" Target="https://meps.ahrq.gov/mepsweb/data_stats/download_data_files.jsp" TargetMode="External"/><Relationship Id="rId14" Type="http://schemas.openxmlformats.org/officeDocument/2006/relationships/hyperlink" Target="https://www.atsdr.cdc.gov/place-health/php/svi/index.html" TargetMode="External"/><Relationship Id="rId22" Type="http://schemas.openxmlformats.org/officeDocument/2006/relationships/hyperlink" Target="https://resdac.org/" TargetMode="External"/><Relationship Id="rId27" Type="http://schemas.openxmlformats.org/officeDocument/2006/relationships/hyperlink" Target="https://datatools.samhsa.gov/" TargetMode="External"/><Relationship Id="rId30" Type="http://schemas.openxmlformats.org/officeDocument/2006/relationships/hyperlink" Target="https://portal.gdc.cancer.gov/" TargetMode="External"/><Relationship Id="rId35" Type="http://schemas.openxmlformats.org/officeDocument/2006/relationships/hyperlink" Target="https://physionet.org/content/mimiciv/" TargetMode="External"/><Relationship Id="rId43" Type="http://schemas.openxmlformats.org/officeDocument/2006/relationships/hyperlink" Target="https://www.healthdata.org/data-tools-practices/interactive-visuals/gbd-results" TargetMode="External"/><Relationship Id="rId48" Type="http://schemas.openxmlformats.org/officeDocument/2006/relationships/hyperlink" Target="https://echo.epa.gov/" TargetMode="External"/><Relationship Id="rId56" Type="http://schemas.openxmlformats.org/officeDocument/2006/relationships/hyperlink" Target="https://www.ncei.noaa.gov/cdo-web/" TargetMode="External"/><Relationship Id="rId64" Type="http://schemas.openxmlformats.org/officeDocument/2006/relationships/hyperlink" Target="https://www.usgs.gov/tools/estimated-annual-agricultural-pesticide-use" TargetMode="External"/><Relationship Id="rId69" Type="http://schemas.openxmlformats.org/officeDocument/2006/relationships/hyperlink" Target="https://data-scdnr.opendata.arcgis.com/" TargetMode="External"/><Relationship Id="rId77" Type="http://schemas.openxmlformats.org/officeDocument/2006/relationships/hyperlink" Target="https://www.niddk.nih.gov/about-niddk/strategic-plans-reports/usrds" TargetMode="External"/><Relationship Id="rId8" Type="http://schemas.openxmlformats.org/officeDocument/2006/relationships/hyperlink" Target="https://addhealth.cpc.unc.edu/" TargetMode="External"/><Relationship Id="rId51" Type="http://schemas.openxmlformats.org/officeDocument/2006/relationships/hyperlink" Target="https://map22.epa.gov/cimc/brownfields" TargetMode="External"/><Relationship Id="rId72" Type="http://schemas.openxmlformats.org/officeDocument/2006/relationships/hyperlink" Target="https://www.cdc.gov/nchs/namcs/about/index.html" TargetMode="External"/><Relationship Id="rId80" Type="http://schemas.openxmlformats.org/officeDocument/2006/relationships/hyperlink" Target="https://www.epa.gov/superfund/superfund-data-and-reports" TargetMode="External"/><Relationship Id="rId85" Type="http://schemas.openxmlformats.org/officeDocument/2006/relationships/hyperlink" Target="https://ephtracking.cdc.gov/Applications/heatTracker/" TargetMode="External"/><Relationship Id="rId3" Type="http://schemas.openxmlformats.org/officeDocument/2006/relationships/hyperlink" Target="https://seer.cancer.gov/" TargetMode="External"/><Relationship Id="rId12" Type="http://schemas.openxmlformats.org/officeDocument/2006/relationships/hyperlink" Target="https://www.cdc.gov/yrbs/index.html" TargetMode="External"/><Relationship Id="rId17" Type="http://schemas.openxmlformats.org/officeDocument/2006/relationships/hyperlink" Target="https://www.ahrq.gov/sdoh/index.html" TargetMode="External"/><Relationship Id="rId25" Type="http://schemas.openxmlformats.org/officeDocument/2006/relationships/hyperlink" Target="https://www.samhsa.gov/data/data-we-collect/teds-treatment-episode-data-set/datafiles" TargetMode="External"/><Relationship Id="rId33" Type="http://schemas.openxmlformats.org/officeDocument/2006/relationships/hyperlink" Target="https://www.ncbi.nlm.nih.gov/sites/GDSbrowser?acc=GDS3837" TargetMode="External"/><Relationship Id="rId38" Type="http://schemas.openxmlformats.org/officeDocument/2006/relationships/hyperlink" Target="https://aqs.epa.gov/aqsweb/documents/data_api.html" TargetMode="External"/><Relationship Id="rId46" Type="http://schemas.openxmlformats.org/officeDocument/2006/relationships/hyperlink" Target="https://www.epa.gov/toxics-release-inventory-tri-program" TargetMode="External"/><Relationship Id="rId59" Type="http://schemas.openxmlformats.org/officeDocument/2006/relationships/hyperlink" Target="https://www.climatologylab.org/gridmet.html" TargetMode="External"/><Relationship Id="rId67" Type="http://schemas.openxmlformats.org/officeDocument/2006/relationships/hyperlink" Target="https://scdnr.maps.arcgis.com/home/" TargetMode="External"/><Relationship Id="rId20" Type="http://schemas.openxmlformats.org/officeDocument/2006/relationships/hyperlink" Target="https://hcup-us.ahrq.gov/" TargetMode="External"/><Relationship Id="rId41" Type="http://schemas.openxmlformats.org/officeDocument/2006/relationships/hyperlink" Target="https://www.who.int/data/gho" TargetMode="External"/><Relationship Id="rId54" Type="http://schemas.openxmlformats.org/officeDocument/2006/relationships/hyperlink" Target="https://www.epa.gov/waterdata/waters-geospatial-data-downloads" TargetMode="External"/><Relationship Id="rId62" Type="http://schemas.openxmlformats.org/officeDocument/2006/relationships/hyperlink" Target="https://www.mrlc.gov/data/project/annual-nlcd" TargetMode="External"/><Relationship Id="rId70" Type="http://schemas.openxmlformats.org/officeDocument/2006/relationships/hyperlink" Target="https://dph.sc.gov/public/data-maps-reports" TargetMode="External"/><Relationship Id="rId75" Type="http://schemas.openxmlformats.org/officeDocument/2006/relationships/hyperlink" Target="https://sleepdata.org/" TargetMode="External"/><Relationship Id="rId83" Type="http://schemas.openxmlformats.org/officeDocument/2006/relationships/hyperlink" Target="https://www.epa.gov/AirToxScreen" TargetMode="External"/><Relationship Id="rId88" Type="http://schemas.openxmlformats.org/officeDocument/2006/relationships/table" Target="../tables/table1.xml"/><Relationship Id="rId1" Type="http://schemas.openxmlformats.org/officeDocument/2006/relationships/hyperlink" Target="https://ncats.nih.gov/research/research-activities/n3c/data-overview/access" TargetMode="External"/><Relationship Id="rId6" Type="http://schemas.openxmlformats.org/officeDocument/2006/relationships/hyperlink" Target="https://www.framinghamheartstudy.org/" TargetMode="External"/><Relationship Id="rId15" Type="http://schemas.openxmlformats.org/officeDocument/2006/relationships/hyperlink" Target="https://www.census.gov/programs-surveys/acs/data/data-via-api.html" TargetMode="External"/><Relationship Id="rId23" Type="http://schemas.openxmlformats.org/officeDocument/2006/relationships/hyperlink" Target="https://healthdata.gov/" TargetMode="External"/><Relationship Id="rId28" Type="http://schemas.openxmlformats.org/officeDocument/2006/relationships/hyperlink" Target="https://www.cdc.gov/nchhstp/about/atlasplus.html" TargetMode="External"/><Relationship Id="rId36" Type="http://schemas.openxmlformats.org/officeDocument/2006/relationships/hyperlink" Target="https://synthea.org/" TargetMode="External"/><Relationship Id="rId49" Type="http://schemas.openxmlformats.org/officeDocument/2006/relationships/hyperlink" Target="https://www.epa.gov/frs" TargetMode="External"/><Relationship Id="rId57" Type="http://schemas.openxmlformats.org/officeDocument/2006/relationships/hyperlink" Target="https://arc.ncics.org/nclimgrid-overview/" TargetMode="External"/><Relationship Id="rId10" Type="http://schemas.openxmlformats.org/officeDocument/2006/relationships/hyperlink" Target="https://wwwn.cdc.gov/nchs/nhanes/Default.aspx" TargetMode="External"/><Relationship Id="rId31" Type="http://schemas.openxmlformats.org/officeDocument/2006/relationships/hyperlink" Target="https://www.cancerimagingarchive.net/" TargetMode="External"/><Relationship Id="rId44" Type="http://schemas.openxmlformats.org/officeDocument/2006/relationships/hyperlink" Target="https://www.atsdr.cdc.gov/place-health/php/eji/index.html" TargetMode="External"/><Relationship Id="rId52" Type="http://schemas.openxmlformats.org/officeDocument/2006/relationships/hyperlink" Target="https://www.waterqualitydata.us/" TargetMode="External"/><Relationship Id="rId60" Type="http://schemas.openxmlformats.org/officeDocument/2006/relationships/hyperlink" Target="https://www.ncei.noaa.gov/stormevents/" TargetMode="External"/><Relationship Id="rId65" Type="http://schemas.openxmlformats.org/officeDocument/2006/relationships/hyperlink" Target="https://gis.des.sc.gov/SCDES_GIS_HUB/" TargetMode="External"/><Relationship Id="rId73" Type="http://schemas.openxmlformats.org/officeDocument/2006/relationships/hyperlink" Target="https://www.cdc.gov/nchs/nhcs/index.html" TargetMode="External"/><Relationship Id="rId78" Type="http://schemas.openxmlformats.org/officeDocument/2006/relationships/hyperlink" Target="https://nemsis.org/" TargetMode="External"/><Relationship Id="rId81" Type="http://schemas.openxmlformats.org/officeDocument/2006/relationships/hyperlink" Target="https://mywaterway.epa.gov/" TargetMode="External"/><Relationship Id="rId86" Type="http://schemas.openxmlformats.org/officeDocument/2006/relationships/hyperlink" Target="https://wonder.cdc.gov/" TargetMode="External"/><Relationship Id="rId4" Type="http://schemas.openxmlformats.org/officeDocument/2006/relationships/hyperlink" Target="https://www.whi.org/" TargetMode="External"/><Relationship Id="rId9" Type="http://schemas.openxmlformats.org/officeDocument/2006/relationships/hyperlink" Target="https://adni.loni.usc.edu/" TargetMode="External"/><Relationship Id="rId13" Type="http://schemas.openxmlformats.org/officeDocument/2006/relationships/hyperlink" Target="https://wonder.cdc.gov/" TargetMode="External"/><Relationship Id="rId18" Type="http://schemas.openxmlformats.org/officeDocument/2006/relationships/hyperlink" Target="https://ahrf.hrsa.gov/ALLVARs_list.asp" TargetMode="External"/><Relationship Id="rId39" Type="http://schemas.openxmlformats.org/officeDocument/2006/relationships/hyperlink" Target="https://www.ers.usda.gov/data-products/food-environment-atlas" TargetMode="External"/><Relationship Id="rId34" Type="http://schemas.openxmlformats.org/officeDocument/2006/relationships/hyperlink" Target="https://physionet.org/" TargetMode="External"/><Relationship Id="rId50" Type="http://schemas.openxmlformats.org/officeDocument/2006/relationships/hyperlink" Target="https://epa.maps.arcgis.com/home/item.html?id=e5f95175f9184d508be636377796f1c2" TargetMode="External"/><Relationship Id="rId55" Type="http://schemas.openxmlformats.org/officeDocument/2006/relationships/hyperlink" Target="https://waterdata.usgs.gov/" TargetMode="External"/><Relationship Id="rId76" Type="http://schemas.openxmlformats.org/officeDocument/2006/relationships/hyperlink" Target="https://nda.nih.gov/" TargetMode="External"/><Relationship Id="rId7" Type="http://schemas.openxmlformats.org/officeDocument/2006/relationships/hyperlink" Target="https://hrs.isr.umich.edu/" TargetMode="External"/><Relationship Id="rId71" Type="http://schemas.openxmlformats.org/officeDocument/2006/relationships/hyperlink" Target="https://www.childhealthdata.org/learn-about-the-nsch/NSCH" TargetMode="External"/><Relationship Id="rId2" Type="http://schemas.openxmlformats.org/officeDocument/2006/relationships/hyperlink" Target="https://www.researchallofus.org/data-tools/workbench/" TargetMode="External"/><Relationship Id="rId29" Type="http://schemas.openxmlformats.org/officeDocument/2006/relationships/hyperlink" Target="https://aidsvu.org/" TargetMode="External"/><Relationship Id="rId24" Type="http://schemas.openxmlformats.org/officeDocument/2006/relationships/hyperlink" Target="https://www.samhsa.gov/data/data-we-collect/nsduh-national-survey-drug-use-and-health" TargetMode="External"/><Relationship Id="rId40" Type="http://schemas.openxmlformats.org/officeDocument/2006/relationships/hyperlink" Target="https://www.ers.usda.gov/data-products/rural-urban-continuum-codes" TargetMode="External"/><Relationship Id="rId45" Type="http://schemas.openxmlformats.org/officeDocument/2006/relationships/hyperlink" Target="https://www.epa.gov/air-emissions-inventories/national-emissions-inventory-nei" TargetMode="External"/><Relationship Id="rId66" Type="http://schemas.openxmlformats.org/officeDocument/2006/relationships/hyperlink" Target="https://www.scseagrant.org/sc-water-monitoring-portal/" TargetMode="External"/><Relationship Id="rId87" Type="http://schemas.openxmlformats.org/officeDocument/2006/relationships/hyperlink" Target="https://data.cdc.gov/Environmental-Health-Toxicology/Daily-Census-Tract-Level-PM2-5-Concentrations-2016/96sd-hxdt/about_data" TargetMode="External"/><Relationship Id="rId61" Type="http://schemas.openxmlformats.org/officeDocument/2006/relationships/hyperlink" Target="https://www.fema.gov/flood-maps/products-tools/national-risk-index" TargetMode="External"/><Relationship Id="rId82" Type="http://schemas.openxmlformats.org/officeDocument/2006/relationships/hyperlink" Target="https://www.epa.gov/aq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07"/>
  <sheetViews>
    <sheetView tabSelected="1" workbookViewId="0">
      <pane ySplit="1" topLeftCell="A59" activePane="bottomLeft" state="frozen"/>
      <selection pane="bottomLeft" activeCell="C60" sqref="C60"/>
    </sheetView>
  </sheetViews>
  <sheetFormatPr defaultColWidth="8.875" defaultRowHeight="14.25"/>
  <cols>
    <col min="1" max="1" width="10" customWidth="1"/>
    <col min="2" max="2" width="28" customWidth="1"/>
    <col min="3" max="3" width="29.5" customWidth="1"/>
    <col min="4" max="4" width="45" style="12" customWidth="1"/>
    <col min="5" max="5" width="50" style="12" customWidth="1"/>
    <col min="6" max="6" width="24" customWidth="1"/>
    <col min="7" max="7" width="26" customWidth="1"/>
    <col min="8" max="8" width="16" customWidth="1"/>
    <col min="9" max="9" width="24" customWidth="1"/>
    <col min="10" max="10" width="34" customWidth="1"/>
    <col min="11" max="11" width="38" customWidth="1"/>
    <col min="12" max="12" width="24" customWidth="1"/>
    <col min="13" max="13" width="26" customWidth="1"/>
    <col min="14" max="14" width="22" customWidth="1"/>
    <col min="15" max="15" width="24" customWidth="1"/>
    <col min="16" max="16" width="18" style="3" customWidth="1"/>
    <col min="17" max="17" width="18" customWidth="1"/>
    <col min="18" max="18" width="16" customWidth="1"/>
    <col min="19" max="20" width="15" customWidth="1"/>
    <col min="21" max="21" width="26.875" style="12" customWidth="1"/>
    <col min="22" max="23" width="18" customWidth="1"/>
    <col min="24" max="24" width="20" customWidth="1"/>
    <col min="25" max="30" width="36" customWidth="1"/>
    <col min="31" max="32" width="16" customWidth="1"/>
    <col min="33" max="33" width="18" customWidth="1"/>
    <col min="34" max="34" width="12" customWidth="1"/>
    <col min="35" max="35" width="16" customWidth="1"/>
    <col min="36" max="36" width="60" customWidth="1"/>
  </cols>
  <sheetData>
    <row r="1" spans="1:36" ht="3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ht="114" customHeight="1">
      <c r="A2" s="1" t="s">
        <v>36</v>
      </c>
      <c r="B2" s="1" t="s">
        <v>37</v>
      </c>
      <c r="C2" s="1" t="s">
        <v>38</v>
      </c>
      <c r="D2" s="4" t="s">
        <v>39</v>
      </c>
      <c r="E2" s="1" t="s">
        <v>40</v>
      </c>
      <c r="F2" s="1" t="s">
        <v>41</v>
      </c>
      <c r="G2" s="1" t="s">
        <v>41</v>
      </c>
      <c r="H2" s="1" t="s">
        <v>42</v>
      </c>
      <c r="I2" s="1" t="s">
        <v>43</v>
      </c>
      <c r="J2" s="1" t="s">
        <v>44</v>
      </c>
      <c r="K2" s="1" t="s">
        <v>45</v>
      </c>
      <c r="L2" s="1" t="s">
        <v>43</v>
      </c>
      <c r="M2" s="1" t="s">
        <v>46</v>
      </c>
      <c r="N2" s="1" t="s">
        <v>47</v>
      </c>
      <c r="O2" s="1" t="s">
        <v>48</v>
      </c>
      <c r="P2" s="1" t="s">
        <v>49</v>
      </c>
      <c r="Q2" s="1" t="s">
        <v>50</v>
      </c>
      <c r="R2" s="1" t="s">
        <v>51</v>
      </c>
      <c r="S2" s="1" t="s">
        <v>52</v>
      </c>
      <c r="T2" s="1" t="s">
        <v>51</v>
      </c>
      <c r="U2" s="1" t="s">
        <v>53</v>
      </c>
      <c r="V2" s="1" t="s">
        <v>54</v>
      </c>
      <c r="W2" s="1" t="s">
        <v>42</v>
      </c>
      <c r="X2" s="1" t="s">
        <v>42</v>
      </c>
      <c r="Y2" s="1" t="s">
        <v>55</v>
      </c>
      <c r="Z2" s="1" t="s">
        <v>56</v>
      </c>
      <c r="AA2" s="1" t="s">
        <v>57</v>
      </c>
      <c r="AB2" s="1" t="s">
        <v>58</v>
      </c>
      <c r="AC2" s="1" t="s">
        <v>59</v>
      </c>
      <c r="AD2" s="1"/>
      <c r="AE2" s="1" t="s">
        <v>60</v>
      </c>
      <c r="AF2" s="5">
        <v>46184</v>
      </c>
      <c r="AG2" s="1" t="s">
        <v>61</v>
      </c>
      <c r="AH2" s="1" t="s">
        <v>62</v>
      </c>
      <c r="AI2" s="1" t="s">
        <v>63</v>
      </c>
      <c r="AJ2" s="1" t="str">
        <f t="shared" ref="AJ2:AJ33" si="0">LOWER(_xlfn.SINGLE(_xlfn.TEXTJOIN(" ", TRUE, B2, C2, E2, F2, G2, I2, J2, K2, L2, M2, N2, O2, P2, Q2, X2, Y2, Z2, AA2, AB2, AC2, AD2)))</f>
        <v>n3c data enclave n3c data access (ncats) large harmonized clinical/ehr data resource, especially useful for covid-19 and related health outcomes research controlled/restricted controlled/restricted ehr/clinical cancer; genomics/molecular; synthetic/methods; renal; n3c; covid-19; clinical; ehr ehr; electronic health record; clinical; diagnosis: genomics; synthetic; simulation; ehr simulator; fake data; emr; patient-level; real-world data; claims; expenditures; n3c data enclave; health care utilization/cost; ehr/clinical ehr/clinical covid19; synthetic; cancer; renal patients contributed by healthcare organizations across the united states united states other patient high demographics; clinical conditions; procedures; medications; laboratory results; encounters; specialty clinic indicators; social determinants of health; in-hospital measures clinical phenotyping; data quality assessment; predictive modeling; collaborative research; data visualization cms data; all of us research program; seer program; the cancer imaging archive — tcia; hcup / hcupnet; values and classifications may differ between contributing institutions; coding, claims, and enrollment rules can change over time; restricted files may be needed. confirm the access tier and licensing terms. restricted access; expect registration, dua, dur, training, and irb approval requirements</v>
      </c>
    </row>
    <row r="3" spans="1:36" ht="114" customHeight="1">
      <c r="A3" s="1" t="s">
        <v>64</v>
      </c>
      <c r="B3" s="1" t="s">
        <v>65</v>
      </c>
      <c r="C3" s="1" t="s">
        <v>66</v>
      </c>
      <c r="D3" s="4" t="s">
        <v>67</v>
      </c>
      <c r="E3" s="1" t="s">
        <v>68</v>
      </c>
      <c r="F3" s="1" t="s">
        <v>69</v>
      </c>
      <c r="G3" s="1" t="s">
        <v>69</v>
      </c>
      <c r="H3" s="1" t="s">
        <v>42</v>
      </c>
      <c r="I3" s="1" t="s">
        <v>43</v>
      </c>
      <c r="J3" s="1" t="s">
        <v>70</v>
      </c>
      <c r="K3" s="1" t="s">
        <v>71</v>
      </c>
      <c r="L3" s="1" t="s">
        <v>72</v>
      </c>
      <c r="M3" s="1" t="s">
        <v>73</v>
      </c>
      <c r="N3" s="1" t="s">
        <v>74</v>
      </c>
      <c r="O3" s="1" t="s">
        <v>48</v>
      </c>
      <c r="P3" s="1" t="s">
        <v>49</v>
      </c>
      <c r="Q3" s="1" t="s">
        <v>75</v>
      </c>
      <c r="R3" s="1" t="s">
        <v>51</v>
      </c>
      <c r="S3" s="1" t="s">
        <v>52</v>
      </c>
      <c r="T3" s="1" t="s">
        <v>51</v>
      </c>
      <c r="U3" s="1" t="s">
        <v>76</v>
      </c>
      <c r="V3" s="1" t="s">
        <v>54</v>
      </c>
      <c r="W3" s="1" t="s">
        <v>42</v>
      </c>
      <c r="X3" s="1" t="s">
        <v>42</v>
      </c>
      <c r="Y3" s="1" t="s">
        <v>77</v>
      </c>
      <c r="Z3" s="1" t="s">
        <v>78</v>
      </c>
      <c r="AA3" s="1" t="s">
        <v>79</v>
      </c>
      <c r="AB3" s="1" t="s">
        <v>80</v>
      </c>
      <c r="AC3" s="1" t="s">
        <v>81</v>
      </c>
      <c r="AD3" s="1"/>
      <c r="AE3" s="1" t="s">
        <v>60</v>
      </c>
      <c r="AF3" s="5">
        <v>46245</v>
      </c>
      <c r="AG3" s="1" t="s">
        <v>82</v>
      </c>
      <c r="AH3" s="1" t="s">
        <v>62</v>
      </c>
      <c r="AI3" s="1" t="s">
        <v>63</v>
      </c>
      <c r="AJ3" s="1" t="str">
        <f t="shared" si="0"/>
        <v>all of us research program researcher workbench (all of us research hub) surveys, ehr, genomics, physical measurements, wearables, social/behavioral factors registered/controlled registered/controlled ehr/clinical ehr; clinical; genomics; surveys; physical measurements; wearable and mobile device data; natural language processing; transcriptomics; all of us ehr; clinical, electronic health record; genomics; survey; mobile device data; physical measurements; health care utilization/cost; rna sequencing; natural language processing; nlp; transcriptomics; proteomics; multiomics; clinical notes data; all of us; all of us research program survey infectious diseases; mental health and behavioral health; chronic diseases; lifestyle; environmental adults (18+) and are intentionally recruited from diverse and historically underrepresented populations united states other individual high demographics; socioeconomic; geographic; ehr-derived variables; mortality; claims; mobility; lifestyle; physical activity; sleep;  genotyping; biomarkers; whole genome sequencing; nutrition; environmental exposures; minute-level metrics; device provenance; gene expression (rna-seq); proteomics genomic and precision medicine; epidemiology and disease outcomes; clinical and translational research; social determinants of health; wearable and mobile health applications; data integration and method development; replication and validation studies meps; cms data; hcup / hcupnet coding, claims, and enrollment rules can change over time; restricted files may be needed. confirm the access tier and licensing terms. registration plus controlled files; application or agreement may be required.</v>
      </c>
    </row>
    <row r="4" spans="1:36" ht="114" customHeight="1">
      <c r="A4" s="1" t="s">
        <v>83</v>
      </c>
      <c r="B4" s="1" t="s">
        <v>84</v>
      </c>
      <c r="C4" s="1" t="s">
        <v>85</v>
      </c>
      <c r="D4" s="4" t="s">
        <v>86</v>
      </c>
      <c r="E4" s="1" t="s">
        <v>87</v>
      </c>
      <c r="F4" s="1" t="s">
        <v>88</v>
      </c>
      <c r="G4" s="1" t="s">
        <v>88</v>
      </c>
      <c r="H4" s="1" t="s">
        <v>62</v>
      </c>
      <c r="I4" s="1" t="s">
        <v>89</v>
      </c>
      <c r="J4" s="1" t="s">
        <v>90</v>
      </c>
      <c r="K4" s="1" t="s">
        <v>91</v>
      </c>
      <c r="L4" s="1" t="s">
        <v>92</v>
      </c>
      <c r="M4" s="1" t="s">
        <v>89</v>
      </c>
      <c r="N4" s="1" t="s">
        <v>93</v>
      </c>
      <c r="O4" s="1" t="s">
        <v>48</v>
      </c>
      <c r="P4" s="1" t="s">
        <v>49</v>
      </c>
      <c r="Q4" s="1" t="s">
        <v>50</v>
      </c>
      <c r="R4" s="1" t="s">
        <v>52</v>
      </c>
      <c r="S4" s="1" t="s">
        <v>51</v>
      </c>
      <c r="T4" s="1" t="s">
        <v>51</v>
      </c>
      <c r="U4" s="1" t="s">
        <v>94</v>
      </c>
      <c r="V4" s="1" t="s">
        <v>95</v>
      </c>
      <c r="W4" s="1" t="s">
        <v>62</v>
      </c>
      <c r="X4" s="1" t="s">
        <v>62</v>
      </c>
      <c r="Y4" s="1" t="s">
        <v>96</v>
      </c>
      <c r="Z4" s="1" t="s">
        <v>97</v>
      </c>
      <c r="AA4" s="1" t="s">
        <v>98</v>
      </c>
      <c r="AB4" s="1" t="s">
        <v>99</v>
      </c>
      <c r="AC4" s="1" t="s">
        <v>100</v>
      </c>
      <c r="AD4" s="1"/>
      <c r="AE4" s="1" t="s">
        <v>60</v>
      </c>
      <c r="AF4" s="5">
        <v>46184</v>
      </c>
      <c r="AG4" s="1" t="s">
        <v>61</v>
      </c>
      <c r="AH4" s="1" t="s">
        <v>62</v>
      </c>
      <c r="AI4" s="1" t="s">
        <v>63</v>
      </c>
      <c r="AJ4" s="1" t="str">
        <f t="shared" si="0"/>
        <v>seer program seer / seer*stat (seer) u.s. cancer incidence, survival, prevalence, mortality-linked cancer surveillance registered public-use registered public-use cancer seer; registry; survival; cancer; oncology; incidence; survival seer; registry; survival; cancer; oncology; incidence; seer program; registry/surveillance registry/surveillance cancer all reportable cancer cases diagnosed among residents of seer registry areas united states other patient medium demographics; cancer site and histology; stage and extent of disease; treatment and therapy; survival and follow-up; risk and exposure factors incidence and survival analyses; disparity studies; biomarker and imaging work n3c; tcia; cms; nci genomic data commons / tcga; the cancer imaging archive — tcia may require controlled access or have suppression/privacy rules; registry variables can be limited. application nad dua required for some files</v>
      </c>
    </row>
    <row r="5" spans="1:36" ht="115.5" customHeight="1">
      <c r="A5" s="1" t="s">
        <v>101</v>
      </c>
      <c r="B5" s="1" t="s">
        <v>102</v>
      </c>
      <c r="C5" s="1" t="s">
        <v>103</v>
      </c>
      <c r="D5" s="4" t="s">
        <v>104</v>
      </c>
      <c r="E5" s="1" t="s">
        <v>105</v>
      </c>
      <c r="F5" s="1" t="s">
        <v>41</v>
      </c>
      <c r="G5" s="1" t="s">
        <v>41</v>
      </c>
      <c r="H5" s="1" t="s">
        <v>42</v>
      </c>
      <c r="I5" s="1" t="s">
        <v>106</v>
      </c>
      <c r="J5" s="1" t="s">
        <v>107</v>
      </c>
      <c r="K5" s="3" t="s">
        <v>108</v>
      </c>
      <c r="L5" s="3" t="s">
        <v>72</v>
      </c>
      <c r="M5" s="1" t="s">
        <v>109</v>
      </c>
      <c r="N5" s="6" t="s">
        <v>110</v>
      </c>
      <c r="O5" s="1" t="s">
        <v>48</v>
      </c>
      <c r="P5" s="1" t="s">
        <v>49</v>
      </c>
      <c r="Q5" s="1" t="s">
        <v>75</v>
      </c>
      <c r="R5" s="1" t="s">
        <v>51</v>
      </c>
      <c r="S5" s="1" t="s">
        <v>52</v>
      </c>
      <c r="T5" s="1" t="s">
        <v>51</v>
      </c>
      <c r="U5" s="1" t="s">
        <v>111</v>
      </c>
      <c r="V5" s="1" t="s">
        <v>54</v>
      </c>
      <c r="W5" s="1" t="s">
        <v>42</v>
      </c>
      <c r="X5" s="1" t="s">
        <v>62</v>
      </c>
      <c r="Y5" s="1" t="s">
        <v>112</v>
      </c>
      <c r="Z5" s="1" t="s">
        <v>113</v>
      </c>
      <c r="AA5" s="1" t="s">
        <v>114</v>
      </c>
      <c r="AB5" s="1" t="s">
        <v>115</v>
      </c>
      <c r="AC5" s="1" t="s">
        <v>116</v>
      </c>
      <c r="AD5" s="1"/>
      <c r="AE5" s="1" t="s">
        <v>60</v>
      </c>
      <c r="AF5" s="5">
        <v>46184</v>
      </c>
      <c r="AG5" s="1" t="s">
        <v>117</v>
      </c>
      <c r="AH5" s="1" t="s">
        <v>62</v>
      </c>
      <c r="AI5" s="1" t="s">
        <v>63</v>
      </c>
      <c r="AJ5" s="1" t="str">
        <f t="shared" si="0"/>
        <v>women’s health initiative — whi women's health initiative (whi) long-term women’s health cohort and trials; cardiovascular disease, cancer, osteoporosis, aging controlled/restricted controlled/restricted women's health aging; cardiovascular disease; cancer; osteoporosis; cohort; longitudinal; epidemiology; chronic disease women's health; postmenopausal women; aging; cohort; longitudinal; clinical trial; observational study; cardiovascular disease; cancer; breast cancer; colorectal cancer; osteoporosis; fractures; mortality; dementia; cognitive health; chronic disease; hormone therapy; diet; nutrition; physical activity; lifestyle; prevention; risk factors survey population heatlh; chronic diseases; non-infectious diseases; diabetes; cancer; cardiovascular;   postmenopausal women aged 50–79; recruited from 40 clinical centers across the united states united states other individual medium demographics; hormone therapy use; menopausal status; cancer outcomes; cardiovascular events; fractures; osteoporosis; mortality; physical activity; diet and nutrition; bmi and anthropometrics; smoking; alcohol use; medication use; comorbidities; quality of life; cognitive function; biomarkers; biospecimens; genomics women's health; aging; cardiovascular disease; cancer epidemiology; osteoporosis and fracture research; longitudinal cohort analyses; biomarker and genomics studies; mortality and survival analyses; chronic disease prevention cms medicare claims; national death index (ndi); dbgap; topmed; acs; ahrf limited south carolina representation (~262 active participants); restricted-access data requiring proposal review, approvals, and applicable irb/data use agreements; submit project/paper proposal to whi committee; dua required for data.</v>
      </c>
    </row>
    <row r="6" spans="1:36" ht="170.25" customHeight="1">
      <c r="A6" s="1" t="s">
        <v>118</v>
      </c>
      <c r="B6" s="1" t="s">
        <v>119</v>
      </c>
      <c r="C6" s="1" t="s">
        <v>120</v>
      </c>
      <c r="D6" s="13" t="s">
        <v>121</v>
      </c>
      <c r="E6" s="1" t="s">
        <v>122</v>
      </c>
      <c r="F6" s="1" t="s">
        <v>69</v>
      </c>
      <c r="G6" s="1" t="s">
        <v>41</v>
      </c>
      <c r="H6" s="1" t="s">
        <v>42</v>
      </c>
      <c r="I6" s="1" t="s">
        <v>123</v>
      </c>
      <c r="J6" s="1" t="s">
        <v>124</v>
      </c>
      <c r="K6" s="1" t="s">
        <v>125</v>
      </c>
      <c r="L6" s="1" t="s">
        <v>126</v>
      </c>
      <c r="M6" s="6" t="s">
        <v>127</v>
      </c>
      <c r="N6" s="1" t="s">
        <v>128</v>
      </c>
      <c r="O6" s="1" t="s">
        <v>48</v>
      </c>
      <c r="P6" s="1" t="s">
        <v>49</v>
      </c>
      <c r="Q6" s="1" t="s">
        <v>75</v>
      </c>
      <c r="R6" s="1" t="s">
        <v>51</v>
      </c>
      <c r="S6" s="1" t="s">
        <v>129</v>
      </c>
      <c r="T6" s="1" t="s">
        <v>51</v>
      </c>
      <c r="U6" s="1" t="s">
        <v>130</v>
      </c>
      <c r="V6" s="1" t="s">
        <v>131</v>
      </c>
      <c r="W6" s="1" t="s">
        <v>42</v>
      </c>
      <c r="X6" s="1" t="s">
        <v>62</v>
      </c>
      <c r="Y6" s="1" t="s">
        <v>132</v>
      </c>
      <c r="Z6" s="1" t="s">
        <v>133</v>
      </c>
      <c r="AA6" s="1" t="s">
        <v>134</v>
      </c>
      <c r="AB6" s="1" t="s">
        <v>135</v>
      </c>
      <c r="AC6" s="1" t="s">
        <v>136</v>
      </c>
      <c r="AD6" s="1"/>
      <c r="AE6" s="1" t="s">
        <v>60</v>
      </c>
      <c r="AF6" s="5">
        <v>46184</v>
      </c>
      <c r="AG6" s="1" t="s">
        <v>117</v>
      </c>
      <c r="AH6" s="1" t="s">
        <v>137</v>
      </c>
      <c r="AI6" s="1" t="s">
        <v>63</v>
      </c>
      <c r="AJ6" s="1" t="str">
        <f t="shared" si="0"/>
        <v>biolincc nhlbi biolincc (biolincc) nhlbi clinical trial and epidemiologic study datasets and biospecimens registered/controlled controlled/restricted clinical trials cohort studies; biospecimens; genomics; cardiovascular disease; lung disease; blood disorders; nhlbi; data sharing; secondary analysis cohort studies; biospecimens; genomics; cardiovascular disease; lung disease; blood disorders; nhlbi;  cohort/longitudinal cardiovascular disease; pulmonary disease; hematology; molecular medicine participants enrolled in clinical trials and research studies across multiple disease areas. united states other individual medium demographics; clinical outcomes; laboratory measurements; biospecimen characterization data; cardiovascular risk factors; pulmonary function measures; hematologic measures; medication use; study endpoints; longitudinal follow-up measures demographics; laboratory measurements; biospecimen characterization data; cardiovascular risk factors; pulmonary function measures; hematologic measures; medication use; longitudinal follow-up measures dbgap; nhlbi biolincc biospecimen collections restricted access requiring registration, proposal review, irb documentation, rmda approval; study availability and variables vary across collections; datasets are generally phenotypic; not a population-representative database. registration required; project protocol submission; irb/ethics approval or exemption documentation required for most studies; research materials distribution agreement (rmda) required prior to data release</v>
      </c>
    </row>
    <row r="7" spans="1:36" ht="197.25" customHeight="1">
      <c r="A7" s="1" t="s">
        <v>138</v>
      </c>
      <c r="B7" s="1" t="s">
        <v>139</v>
      </c>
      <c r="C7" s="1" t="s">
        <v>140</v>
      </c>
      <c r="D7" s="13" t="s">
        <v>139</v>
      </c>
      <c r="E7" s="1" t="s">
        <v>141</v>
      </c>
      <c r="F7" s="1" t="s">
        <v>41</v>
      </c>
      <c r="G7" s="1" t="s">
        <v>41</v>
      </c>
      <c r="H7" s="1" t="s">
        <v>42</v>
      </c>
      <c r="I7" s="1" t="s">
        <v>142</v>
      </c>
      <c r="J7" s="1" t="s">
        <v>143</v>
      </c>
      <c r="K7" s="1" t="s">
        <v>144</v>
      </c>
      <c r="L7" s="1" t="s">
        <v>126</v>
      </c>
      <c r="M7" s="1" t="s">
        <v>145</v>
      </c>
      <c r="N7" s="1" t="s">
        <v>146</v>
      </c>
      <c r="O7" s="1" t="s">
        <v>48</v>
      </c>
      <c r="P7" s="1" t="s">
        <v>49</v>
      </c>
      <c r="Q7" s="1" t="s">
        <v>75</v>
      </c>
      <c r="R7" s="1" t="s">
        <v>51</v>
      </c>
      <c r="S7" s="1" t="s">
        <v>129</v>
      </c>
      <c r="T7" s="1" t="s">
        <v>51</v>
      </c>
      <c r="U7" s="1" t="s">
        <v>147</v>
      </c>
      <c r="V7" s="1" t="s">
        <v>148</v>
      </c>
      <c r="W7" s="1" t="s">
        <v>42</v>
      </c>
      <c r="X7" s="1" t="s">
        <v>137</v>
      </c>
      <c r="Y7" s="1" t="s">
        <v>149</v>
      </c>
      <c r="Z7" s="1" t="s">
        <v>150</v>
      </c>
      <c r="AA7" s="1" t="s">
        <v>151</v>
      </c>
      <c r="AB7" s="1" t="s">
        <v>152</v>
      </c>
      <c r="AC7" s="1" t="s">
        <v>153</v>
      </c>
      <c r="AD7" s="1"/>
      <c r="AE7" s="1" t="s">
        <v>60</v>
      </c>
      <c r="AF7" s="5">
        <v>46184</v>
      </c>
      <c r="AG7" s="1" t="s">
        <v>117</v>
      </c>
      <c r="AH7" s="1" t="s">
        <v>62</v>
      </c>
      <c r="AI7" s="1" t="s">
        <v>63</v>
      </c>
      <c r="AJ7" s="1" t="str">
        <f t="shared" si="0"/>
        <v>framingham heart study fhs / biolincc (biolincc) longitudinal cardiovascular cohort data, clinical measures, genetic and epidemiologic data controlled/restricted controlled/restricted chronic disease cardiovascular disease; epidemiology; longitudinal; aging; risk factors; genomics; biomarkers; cohort study cardiovascular disease; epidemiology; longitudinal; aging; risk factors; genomics; biomarkers; cohort study; environmental factors; chronic diseases; non-infectious diseases cohort/longitudinal cardiovascular disease; chronic diseases;  multigenerational study starting from 1948, sampled men and women from framingham, massachuesetts. sampling phases expanded to future generations (spouses &amp; offspring) to study additional factors to cardiovascular health and other diseases. united states other individual low demographics; blood pressure; lipids/cholesterol; bmi; smoking; physical exam/activity; medication use; diabetes/glucose; cardiovascular events; myocardial infarction; angina; coronary revascularization; atrial fibrillation; stroke/tia; heart failure; intermittent claudication; mortality; biomarkers; genomics; biospecimens; dna; plasma; serum; urine; whole blood cardiovascular disease epidemiology; longitudinal cohort analyses; chronic disease risk factor research; stroke and cerebrovascular outcomes; aging research; biomarker and genomics studies; mortality and survival analyses; predictive modeling biolincc; dbgap restricted access requiring proposal approval; not south carolina-specific; geographic/area-level data availability unclear; generalizability may be limited; variables vary by cohort and exam cycle. restricted access; proposal approval and data request required; irb/ethics documentation and data use agreement/rmda may be required.</v>
      </c>
    </row>
    <row r="8" spans="1:36" ht="327.75" customHeight="1">
      <c r="A8" s="1" t="s">
        <v>154</v>
      </c>
      <c r="B8" s="1" t="s">
        <v>155</v>
      </c>
      <c r="C8" s="1" t="s">
        <v>156</v>
      </c>
      <c r="D8" s="4" t="s">
        <v>157</v>
      </c>
      <c r="E8" s="1" t="s">
        <v>158</v>
      </c>
      <c r="F8" s="1" t="s">
        <v>159</v>
      </c>
      <c r="G8" s="1" t="s">
        <v>160</v>
      </c>
      <c r="H8" s="1" t="s">
        <v>62</v>
      </c>
      <c r="I8" s="1" t="s">
        <v>161</v>
      </c>
      <c r="J8" s="1" t="s">
        <v>162</v>
      </c>
      <c r="K8" s="1" t="s">
        <v>163</v>
      </c>
      <c r="L8" s="1" t="s">
        <v>126</v>
      </c>
      <c r="M8" s="1" t="s">
        <v>164</v>
      </c>
      <c r="N8" s="1" t="s">
        <v>165</v>
      </c>
      <c r="O8" s="1" t="s">
        <v>48</v>
      </c>
      <c r="P8" s="1" t="s">
        <v>49</v>
      </c>
      <c r="Q8" s="1" t="s">
        <v>75</v>
      </c>
      <c r="R8" s="1" t="s">
        <v>51</v>
      </c>
      <c r="S8" s="1" t="s">
        <v>52</v>
      </c>
      <c r="T8" s="1" t="s">
        <v>51</v>
      </c>
      <c r="U8" s="1" t="s">
        <v>166</v>
      </c>
      <c r="V8" s="1" t="s">
        <v>167</v>
      </c>
      <c r="W8" s="1" t="s">
        <v>42</v>
      </c>
      <c r="X8" s="1" t="s">
        <v>62</v>
      </c>
      <c r="Y8" s="1" t="s">
        <v>168</v>
      </c>
      <c r="Z8" s="1" t="s">
        <v>169</v>
      </c>
      <c r="AA8" s="1" t="s">
        <v>170</v>
      </c>
      <c r="AB8" s="1" t="s">
        <v>171</v>
      </c>
      <c r="AC8" s="1" t="s">
        <v>172</v>
      </c>
      <c r="AD8" s="1"/>
      <c r="AE8" s="1" t="s">
        <v>52</v>
      </c>
      <c r="AF8" s="5">
        <v>46185</v>
      </c>
      <c r="AG8" s="1" t="s">
        <v>61</v>
      </c>
      <c r="AH8" s="1" t="s">
        <v>62</v>
      </c>
      <c r="AI8" s="1" t="s">
        <v>63</v>
      </c>
      <c r="AJ8" s="1" t="str">
        <f t="shared" si="0"/>
        <v>health and retirement study — hrs hrs (health and retirement study) longitudinal aging, retirement, health, cognition, disability, economics registered public-use plus restricted files public-use plus restricted files aging aging; older adults; longitudinal; multimorbidity; cognition; health trajectories; retirement; family aging; older adults; longitudinal; multimorbidity; cognition; health trajectories; add health; cohort/longitudinal; retirement plans; family cohort/longitudinal aging; health; retirement approximately 20,000 u.s. adults aged 50 and older, surveyed every two years united states other individual medium demographics; health status; symptoms; health behaviors; adl/iadl difficulty and dependence; mobility; functional limitations; falls; incontinence; cognition; cognitive tests; work related disability; wealth; work history; socioeconomic status; grip strength; gait speed; weight; biomakers disability outcomes; evaluation of socioeconomically vulnerable populations; aging and health research; cognitive nad neurological studies; retirement and labor market dynamics; social security and finicial security; health care utilization and expenditures; life course and logitudinal studies; behavioral and social science research add health; cms may be cohort-specific and not fully generalizable; check sampling (african-americans and hispanics are oversampled), follow-up, and restricted tiers. confirm the access tier and licensing terms. resitration for public data required; restricted data only available through rda</v>
      </c>
    </row>
    <row r="9" spans="1:36" ht="256.5" customHeight="1">
      <c r="A9" s="1" t="s">
        <v>173</v>
      </c>
      <c r="B9" s="1" t="s">
        <v>174</v>
      </c>
      <c r="C9" s="1" t="s">
        <v>175</v>
      </c>
      <c r="D9" s="4" t="s">
        <v>176</v>
      </c>
      <c r="E9" s="1" t="s">
        <v>177</v>
      </c>
      <c r="F9" s="1" t="s">
        <v>160</v>
      </c>
      <c r="G9" s="1" t="s">
        <v>160</v>
      </c>
      <c r="H9" s="1" t="s">
        <v>62</v>
      </c>
      <c r="I9" s="1" t="s">
        <v>161</v>
      </c>
      <c r="J9" s="1" t="s">
        <v>178</v>
      </c>
      <c r="K9" s="1" t="s">
        <v>179</v>
      </c>
      <c r="L9" s="1" t="s">
        <v>126</v>
      </c>
      <c r="M9" s="1" t="s">
        <v>161</v>
      </c>
      <c r="N9" s="1" t="s">
        <v>180</v>
      </c>
      <c r="O9" s="1" t="s">
        <v>48</v>
      </c>
      <c r="P9" s="1" t="s">
        <v>49</v>
      </c>
      <c r="Q9" s="1" t="s">
        <v>75</v>
      </c>
      <c r="R9" s="1" t="s">
        <v>51</v>
      </c>
      <c r="S9" s="1" t="s">
        <v>52</v>
      </c>
      <c r="T9" s="1" t="s">
        <v>51</v>
      </c>
      <c r="U9" s="1" t="s">
        <v>181</v>
      </c>
      <c r="V9" s="1" t="s">
        <v>54</v>
      </c>
      <c r="W9" s="1" t="s">
        <v>42</v>
      </c>
      <c r="X9" s="1" t="s">
        <v>62</v>
      </c>
      <c r="Y9" s="1" t="s">
        <v>182</v>
      </c>
      <c r="Z9" s="1" t="s">
        <v>183</v>
      </c>
      <c r="AA9" s="1" t="s">
        <v>184</v>
      </c>
      <c r="AB9" s="1" t="s">
        <v>185</v>
      </c>
      <c r="AC9" s="1" t="s">
        <v>186</v>
      </c>
      <c r="AD9" s="1"/>
      <c r="AE9" s="1" t="s">
        <v>52</v>
      </c>
      <c r="AF9" s="5">
        <v>46185</v>
      </c>
      <c r="AG9" s="1" t="s">
        <v>61</v>
      </c>
      <c r="AH9" s="1" t="s">
        <v>62</v>
      </c>
      <c r="AI9" s="1" t="s">
        <v>63</v>
      </c>
      <c r="AJ9" s="1" t="str">
        <f t="shared" si="0"/>
        <v>add health add health (add health) longitudinal adolescent-to-adult health, behavior, social environment, cognition, psychosocial public-use plus restricted files public-use plus restricted files aging aging, longitudinal; cognition; health trajectories aging; longitudinal; cognition; health trajectories; add health; cohort/longitudinal; behavioral health cohort/longitudinal aging 20,000+ u.s. adolescents who were in grades 7-12 during the 1994-95 school year, followed into adulthood across six waves of data collection united states other individual medium demographics; school and academic context; social network and relational data; biomarker data; genetic data; health and risk behaviors; psychosocial contructs; family structure; neighborhood and community; socioeconomic status; mover distance education and youth development; health and well-being; social and behavioral sciences cms; nhanes; hrs may be cohort-specific and not fully generalizable; check sampling, follow-up, and restricted tiers. confirm the access tier and licensing terms. registration required for public-use data; contract, data security plan, and irb approval required for restricted-use data</v>
      </c>
    </row>
    <row r="10" spans="1:36" ht="313.5" customHeight="1">
      <c r="A10" s="1" t="s">
        <v>187</v>
      </c>
      <c r="B10" s="1" t="s">
        <v>188</v>
      </c>
      <c r="C10" s="1" t="s">
        <v>189</v>
      </c>
      <c r="D10" s="1" t="s">
        <v>190</v>
      </c>
      <c r="E10" s="1" t="s">
        <v>191</v>
      </c>
      <c r="F10" s="1" t="s">
        <v>41</v>
      </c>
      <c r="G10" s="1" t="s">
        <v>41</v>
      </c>
      <c r="H10" s="1" t="s">
        <v>42</v>
      </c>
      <c r="I10" s="1" t="s">
        <v>192</v>
      </c>
      <c r="J10" s="1" t="s">
        <v>193</v>
      </c>
      <c r="K10" s="1" t="s">
        <v>194</v>
      </c>
      <c r="L10" s="1" t="s">
        <v>126</v>
      </c>
      <c r="M10" s="1" t="s">
        <v>195</v>
      </c>
      <c r="N10" s="1" t="s">
        <v>196</v>
      </c>
      <c r="O10" s="1" t="s">
        <v>197</v>
      </c>
      <c r="P10" s="1" t="s">
        <v>49</v>
      </c>
      <c r="Q10" s="1" t="s">
        <v>75</v>
      </c>
      <c r="R10" s="1" t="s">
        <v>51</v>
      </c>
      <c r="S10" s="1" t="s">
        <v>52</v>
      </c>
      <c r="T10" s="1" t="s">
        <v>51</v>
      </c>
      <c r="U10" s="1" t="s">
        <v>198</v>
      </c>
      <c r="V10" s="1" t="s">
        <v>54</v>
      </c>
      <c r="W10" s="1" t="s">
        <v>42</v>
      </c>
      <c r="X10" s="1" t="s">
        <v>137</v>
      </c>
      <c r="Y10" s="1" t="s">
        <v>199</v>
      </c>
      <c r="Z10" s="1" t="s">
        <v>200</v>
      </c>
      <c r="AA10" s="1" t="s">
        <v>201</v>
      </c>
      <c r="AB10" s="1" t="s">
        <v>202</v>
      </c>
      <c r="AC10" s="1" t="s">
        <v>203</v>
      </c>
      <c r="AD10" s="1"/>
      <c r="AE10" s="1" t="s">
        <v>52</v>
      </c>
      <c r="AF10" s="5">
        <v>46185</v>
      </c>
      <c r="AG10" s="1" t="s">
        <v>61</v>
      </c>
      <c r="AH10" s="1" t="s">
        <v>62</v>
      </c>
      <c r="AI10" s="1" t="s">
        <v>63</v>
      </c>
      <c r="AJ10" s="1" t="str">
        <f t="shared" si="0"/>
        <v>uk biobank uk biobank (uk biobank) large cohort with health, lifestyle, imaging, genetics, linked medical records controlled/restricted controlled/restricted genomics/molecular aging, ehr/clinical; imaging; chronic disease; cancer; mental health; sdoh/geospatial uk biobank; cohort/longitudinal; genomics; genetics; molecular epidemiology; hospital records; aging; chronic disease; cancer; medical imaging; imaging biomarkers; mnetal health; cognitive function; physical activity; nutrition; sleep; social determinants of health cohort/longitudinal genomics/molecular; aging, ehr/clinical; imaging; chronic disease; cancer; mental health; sdoh/geospatial 500,000 participants aged 40–69 years at enrollment global/international other individual low demographics; lifestyle and behavior (smoking history, alcohol consumption, diet, sleep, ...), health measurements (blood pressure, blood and urine tests, ecg, …), genetic data, imaging and functionla data, questionaire and survey data (mental health, sdoh, health behaviors, ...) disease etiology and risk factor studies, genetic and genomic research, drug discovery and target identification, biomarker discovery and validation, longitudinal/cohort studies, public health, epidemiology, cross-disease analyses all of us research program, hrs, cms, adni may be cohort-specific and not fully generalizable; check sampling, follow-up, and restricted tiers. confirm the access tier and licensing terms registration, approval, and fees required for access</v>
      </c>
    </row>
    <row r="11" spans="1:36" ht="342" customHeight="1">
      <c r="A11" s="1" t="s">
        <v>204</v>
      </c>
      <c r="B11" s="1" t="s">
        <v>205</v>
      </c>
      <c r="C11" s="1" t="s">
        <v>206</v>
      </c>
      <c r="D11" s="4" t="s">
        <v>207</v>
      </c>
      <c r="E11" s="1" t="s">
        <v>208</v>
      </c>
      <c r="F11" s="1" t="s">
        <v>69</v>
      </c>
      <c r="G11" s="1" t="s">
        <v>69</v>
      </c>
      <c r="H11" s="1" t="s">
        <v>42</v>
      </c>
      <c r="I11" s="1" t="s">
        <v>209</v>
      </c>
      <c r="J11" s="1" t="s">
        <v>210</v>
      </c>
      <c r="K11" s="1" t="s">
        <v>211</v>
      </c>
      <c r="L11" s="1" t="s">
        <v>126</v>
      </c>
      <c r="M11" s="1" t="s">
        <v>212</v>
      </c>
      <c r="N11" s="1" t="s">
        <v>213</v>
      </c>
      <c r="O11" s="1" t="s">
        <v>197</v>
      </c>
      <c r="P11" s="1" t="s">
        <v>49</v>
      </c>
      <c r="Q11" s="1" t="s">
        <v>75</v>
      </c>
      <c r="R11" s="1" t="s">
        <v>51</v>
      </c>
      <c r="S11" s="1" t="s">
        <v>52</v>
      </c>
      <c r="T11" s="1" t="s">
        <v>51</v>
      </c>
      <c r="U11" s="1" t="s">
        <v>214</v>
      </c>
      <c r="V11" s="1" t="s">
        <v>54</v>
      </c>
      <c r="W11" s="1" t="s">
        <v>42</v>
      </c>
      <c r="X11" s="1" t="s">
        <v>62</v>
      </c>
      <c r="Y11" s="1" t="s">
        <v>215</v>
      </c>
      <c r="Z11" s="1" t="s">
        <v>216</v>
      </c>
      <c r="AA11" s="1" t="s">
        <v>217</v>
      </c>
      <c r="AB11" s="1" t="s">
        <v>185</v>
      </c>
      <c r="AC11" s="1" t="s">
        <v>218</v>
      </c>
      <c r="AD11" s="1"/>
      <c r="AE11" s="1" t="s">
        <v>52</v>
      </c>
      <c r="AF11" s="5">
        <v>46188</v>
      </c>
      <c r="AG11" s="1" t="s">
        <v>61</v>
      </c>
      <c r="AH11" s="1" t="s">
        <v>62</v>
      </c>
      <c r="AI11" s="1" t="s">
        <v>63</v>
      </c>
      <c r="AJ11" s="1" t="str">
        <f t="shared" si="0"/>
        <v>adni alzheimer’s disease neuroimaging initiative (adni) alzheimer’s clinical, imaging, genetic, biomarker, and longitudinal data registered/controlled registered/controlled imaging aging; genomics/molecular; mental health; clinical trials; cognition aging; genomics/molecular; mental health; clinical trials; cognition; adni; cohort/longitudinal cohort/longitudinal imaging; genomics/molecular; mental health; clinical trials thousands of adults age ~55–90 global/international other individual medium demographics (age; sex; education); cognitive tests (mmse; adas-cog; cdr-sb); clinical diagnosis (normal; mci; alzheimer's disease); mri measures (hippocampal volume; brain atrophy); pet measures (amyloid; tau; glucose metabolism); biomarkers (csf aβ42; tau); genetics (apoe genotype; gwas data); medical history and medications; functional status (faq; daily activities) alzheimer's disease progression; mild cognitive impairment (mci) conversion prediction; brain aging and cognitive decline; neuroimaging biomarker development; genetic risk factor analyses; biomarker discovery and validation; machine learning/predictive modeling; longitudinal aging studies; treatment target identification uk biobank; all of us research program; health and retirement study (hrs); dbgap; nhanes; acs; cdc places; clinicaltrials.gov may be cohort-specific and not fully generalizable; check sampling, follow-up, and restricted tiers. confirm the access tier and licensing terms. registration plus controlled files; application  required.</v>
      </c>
    </row>
    <row r="12" spans="1:36" ht="342" customHeight="1">
      <c r="A12" s="1" t="s">
        <v>219</v>
      </c>
      <c r="B12" s="1" t="s">
        <v>220</v>
      </c>
      <c r="C12" s="1" t="s">
        <v>221</v>
      </c>
      <c r="D12" s="4" t="s">
        <v>222</v>
      </c>
      <c r="E12" s="1" t="s">
        <v>223</v>
      </c>
      <c r="F12" s="1" t="s">
        <v>224</v>
      </c>
      <c r="G12" s="1" t="s">
        <v>160</v>
      </c>
      <c r="H12" s="1" t="s">
        <v>137</v>
      </c>
      <c r="I12" s="1" t="s">
        <v>142</v>
      </c>
      <c r="J12" s="1" t="s">
        <v>225</v>
      </c>
      <c r="K12" s="1" t="s">
        <v>226</v>
      </c>
      <c r="L12" s="1" t="s">
        <v>72</v>
      </c>
      <c r="M12" s="1" t="s">
        <v>227</v>
      </c>
      <c r="N12" s="1" t="s">
        <v>228</v>
      </c>
      <c r="O12" s="1" t="s">
        <v>48</v>
      </c>
      <c r="P12" s="1" t="s">
        <v>49</v>
      </c>
      <c r="Q12" s="1" t="s">
        <v>75</v>
      </c>
      <c r="R12" s="1" t="s">
        <v>51</v>
      </c>
      <c r="S12" s="1" t="s">
        <v>51</v>
      </c>
      <c r="T12" s="1" t="s">
        <v>51</v>
      </c>
      <c r="U12" s="1" t="s">
        <v>229</v>
      </c>
      <c r="V12" s="1" t="s">
        <v>230</v>
      </c>
      <c r="W12" s="1" t="s">
        <v>62</v>
      </c>
      <c r="X12" s="1" t="s">
        <v>42</v>
      </c>
      <c r="Y12" s="1" t="s">
        <v>231</v>
      </c>
      <c r="Z12" s="1" t="s">
        <v>232</v>
      </c>
      <c r="AA12" s="1" t="s">
        <v>233</v>
      </c>
      <c r="AB12" s="1" t="s">
        <v>234</v>
      </c>
      <c r="AC12" s="1" t="s">
        <v>235</v>
      </c>
      <c r="AD12" s="1"/>
      <c r="AE12" s="1" t="s">
        <v>52</v>
      </c>
      <c r="AF12" s="5">
        <v>46188</v>
      </c>
      <c r="AG12" s="1" t="s">
        <v>61</v>
      </c>
      <c r="AH12" s="1" t="s">
        <v>62</v>
      </c>
      <c r="AI12" s="1" t="s">
        <v>63</v>
      </c>
      <c r="AJ12" s="1" t="str">
        <f t="shared" si="0"/>
        <v>nhanes nhanes data (cdc) u.s. health, nutrition, physical exams, laboratory measures, biospecimens open/public public-use plus restricted files chronic disease food/nutrition; environmental exposure; genomics/molecular; health care utilization/cost; chronic disease; risk factors; prevalence; health behaviors; surveillance chronic disease; risk factors; prevalence; health behaviors; surveillance; nhanes; survey survey food/nutrition; environmental exposure; genomics/molecular; health care utilization/cost; chronic disease ~5,000 participants/year, civilian, noninstitutionalized u.s. population of all ages united states other individual high demographics (age; sex; race/ethnicity); bmi and anthropometrics; blood pressure; diet and nutrition measures; physical activity; smoking and alcohol use; chronic disease status (diabetes; hypertension; cardiovascular disease); laboratory biomarkers (cholesterol; glucose; hba1c); environmental exposure biomarkers; health insurance and health care access chronic disease epidemiology; nutrition and diet studies; health disparities research; environmental exposure studies; risk factor analyses; population health surveillance; biomarker research; trends over time analyses; health services and access studies; predictive modeling and methods research brfss; nhis; meps; cdc places cross-sectional design limits causal inference; self-reported measures may introduce recall bias; some subpopulations have small sample sizes; complex survey weights and design must be accounted for in analyses open/public source; verify citation, download, and data user agreement.</v>
      </c>
    </row>
    <row r="13" spans="1:36" ht="159.75" customHeight="1">
      <c r="A13" s="1" t="s">
        <v>236</v>
      </c>
      <c r="B13" s="1" t="s">
        <v>237</v>
      </c>
      <c r="C13" s="1" t="s">
        <v>238</v>
      </c>
      <c r="D13" s="4" t="s">
        <v>239</v>
      </c>
      <c r="E13" s="1" t="s">
        <v>240</v>
      </c>
      <c r="F13" s="1" t="s">
        <v>224</v>
      </c>
      <c r="G13" s="1" t="s">
        <v>224</v>
      </c>
      <c r="H13" s="1" t="s">
        <v>137</v>
      </c>
      <c r="I13" s="1" t="s">
        <v>142</v>
      </c>
      <c r="J13" s="1" t="s">
        <v>241</v>
      </c>
      <c r="K13" s="1" t="s">
        <v>242</v>
      </c>
      <c r="L13" s="1" t="s">
        <v>72</v>
      </c>
      <c r="M13" s="1" t="s">
        <v>243</v>
      </c>
      <c r="N13" s="1" t="s">
        <v>244</v>
      </c>
      <c r="O13" s="1" t="s">
        <v>48</v>
      </c>
      <c r="P13" s="1" t="s">
        <v>49</v>
      </c>
      <c r="Q13" s="1" t="s">
        <v>75</v>
      </c>
      <c r="R13" s="1" t="s">
        <v>51</v>
      </c>
      <c r="S13" s="1" t="s">
        <v>52</v>
      </c>
      <c r="T13" s="1" t="s">
        <v>51</v>
      </c>
      <c r="U13" s="1" t="s">
        <v>245</v>
      </c>
      <c r="V13" s="1" t="s">
        <v>230</v>
      </c>
      <c r="W13" s="1" t="s">
        <v>62</v>
      </c>
      <c r="X13" s="1" t="s">
        <v>42</v>
      </c>
      <c r="Y13" s="1" t="s">
        <v>246</v>
      </c>
      <c r="Z13" s="1" t="s">
        <v>247</v>
      </c>
      <c r="AA13" s="1" t="s">
        <v>248</v>
      </c>
      <c r="AB13" s="1" t="s">
        <v>249</v>
      </c>
      <c r="AC13" s="1" t="s">
        <v>235</v>
      </c>
      <c r="AD13" s="1"/>
      <c r="AE13" s="1" t="s">
        <v>52</v>
      </c>
      <c r="AF13" s="5">
        <v>46188</v>
      </c>
      <c r="AG13" s="1" t="s">
        <v>61</v>
      </c>
      <c r="AH13" s="1" t="s">
        <v>62</v>
      </c>
      <c r="AI13" s="1" t="s">
        <v>63</v>
      </c>
      <c r="AJ13" s="1" t="str">
        <f t="shared" si="0"/>
        <v>nhis nhis data (cdc) u.s. household health survey; health status, access, utilization, conditions open/public open/public chronic disease health care utilization/cost; mental health; maternal/child health; substance use; hiv/infectious disease; sdoh/geospatial; aging; chronic disease; risk factors; prevalence; health behaviors; surveillance national health interview survey (nhis); nhis; health status; chronic disease; health behaviors; health care access; health insurance; preventive care; mental health; disability; health disparities; social determinants of health; population health; survey data; longitudinal linkage; mortality linkage survey chronic disease; health care utilization/cost; mental health; maternal/child health; substance use; hiv/infectious disease; sdoh/geospatial; aging civilian, noninstitutionalized u.s. population of all ages united states other individual high demographics (age; sex; race/ethnicity); health status (self-rated health; chronic conditions); health insurance coverage; health care access and utilization; mental health measures; disability and functional status; health behaviors (smoking; alcohol use; physical activity); preventive care and screenings; family and household characteristics; social determinants of health chronic disease epidemiology; health disparities research; health care access and utilization studies; mental health research; disability and aging studies; preventive care and screening analyses; population health surveillance; social determinants of health research; policy evaluation; mortality and survival analyses cms; nhanes; meps; acs primarily cross-sectional data; many measures are self-reported and subject to recall bias; limited clinical/laboratory data compared with nhanes; some subgroup analyses may be underpowered; complex survey design requires weighting open/public source; verify citation, download, and data user agreement.</v>
      </c>
    </row>
    <row r="14" spans="1:36" ht="409.5" customHeight="1">
      <c r="A14" s="1" t="s">
        <v>250</v>
      </c>
      <c r="B14" s="1" t="s">
        <v>251</v>
      </c>
      <c r="C14" s="1" t="s">
        <v>252</v>
      </c>
      <c r="D14" s="1" t="s">
        <v>253</v>
      </c>
      <c r="E14" s="1" t="s">
        <v>254</v>
      </c>
      <c r="F14" s="1" t="s">
        <v>224</v>
      </c>
      <c r="G14" s="1" t="s">
        <v>224</v>
      </c>
      <c r="H14" s="1" t="s">
        <v>137</v>
      </c>
      <c r="I14" s="1" t="s">
        <v>142</v>
      </c>
      <c r="J14" s="1" t="s">
        <v>255</v>
      </c>
      <c r="K14" s="1" t="s">
        <v>256</v>
      </c>
      <c r="L14" s="1" t="s">
        <v>72</v>
      </c>
      <c r="M14" s="1" t="s">
        <v>257</v>
      </c>
      <c r="N14" s="1" t="s">
        <v>258</v>
      </c>
      <c r="O14" s="1" t="s">
        <v>48</v>
      </c>
      <c r="P14" s="1" t="s">
        <v>259</v>
      </c>
      <c r="Q14" s="1" t="s">
        <v>75</v>
      </c>
      <c r="R14" s="1" t="s">
        <v>51</v>
      </c>
      <c r="S14" s="1" t="s">
        <v>51</v>
      </c>
      <c r="T14" s="1" t="s">
        <v>52</v>
      </c>
      <c r="U14" s="1" t="s">
        <v>260</v>
      </c>
      <c r="V14" s="1" t="s">
        <v>261</v>
      </c>
      <c r="W14" s="1" t="s">
        <v>62</v>
      </c>
      <c r="X14" s="1" t="s">
        <v>42</v>
      </c>
      <c r="Y14" s="1" t="s">
        <v>262</v>
      </c>
      <c r="Z14" s="1" t="s">
        <v>263</v>
      </c>
      <c r="AA14" s="1" t="s">
        <v>264</v>
      </c>
      <c r="AB14" s="1" t="s">
        <v>265</v>
      </c>
      <c r="AC14" s="1" t="s">
        <v>266</v>
      </c>
      <c r="AD14" s="1"/>
      <c r="AE14" s="1" t="s">
        <v>51</v>
      </c>
      <c r="AF14" s="5">
        <v>46188</v>
      </c>
      <c r="AG14" s="1" t="s">
        <v>117</v>
      </c>
      <c r="AH14" s="1" t="s">
        <v>62</v>
      </c>
      <c r="AI14" s="1" t="s">
        <v>63</v>
      </c>
      <c r="AJ14" s="1" t="str">
        <f t="shared" si="0"/>
        <v>brfss brfss annual data (cdc) state-level behavioral risk factors, chronic disease, preventive care, health behaviors open/public open/public chronic disease survey; surveillance; health behaviors; risk factors; preventive care; mental health; diabetes; obesity; hypertension; cardiovascular; asthma; copd; cancer screening; prevalence; prevention; health behaviors; risk factors; preventive care; survey; surveillance; brfss; tobacco; alcohol; physical activity; nutrition; mental health; depression; substance use; health care access; insurance; immunization; disability; social determinants of health; sdoh survey chronic disease; health behaviors; preventive care; mental health; substance use; tobacco use; alcohol use; physical activity; nutrition; obesity; diabetes; hypertension; health care access; immunization; disability; sdoh noninsitionalized us citizens +18 years of age united states state individual high demographics; health status; chronic conditions; diabetes; hypertension; asthma; copd; cardiovascular disease; cancer screening; bmi; smoking/tobacco use; alcohol use; physical activity; diet/nutrition; mental health; disability; health insurance; health care access; preventive care; immunization; hiv/aids-related behaviors; sdoh-related measures chronic disease epidemiology; health behavior surveillance; risk factor analyses; health disparities research; preventive care and screening analyses; mental health and substance use research; tobacco and alcohol use studies; physical activity and nutrition studies; health care access analyses; south carolina state-level public health surveillance; trends over time analyses cdc places; nhis; nhanes; meps; acs; cdc wonder; county health rankings; cdc/atsdr svi repeated cross-sectional survey; indicators/modules and geographic availability vary by year and state; measures are largely self-reported and may be subject to recall and social desirability bias; observational survey data limit causal inference; complex survey design requires use of weights open/public source; no registration or application required for annual public-use files; verify citation, documentation, survey year, and weighting guidance before analysis.</v>
      </c>
    </row>
    <row r="15" spans="1:36" ht="399" customHeight="1">
      <c r="A15" s="1" t="s">
        <v>267</v>
      </c>
      <c r="B15" s="1" t="s">
        <v>268</v>
      </c>
      <c r="C15" s="1" t="s">
        <v>269</v>
      </c>
      <c r="D15" s="4" t="s">
        <v>270</v>
      </c>
      <c r="E15" s="1" t="s">
        <v>271</v>
      </c>
      <c r="F15" s="1" t="s">
        <v>224</v>
      </c>
      <c r="G15" s="1" t="s">
        <v>224</v>
      </c>
      <c r="H15" s="1" t="s">
        <v>137</v>
      </c>
      <c r="I15" s="1" t="s">
        <v>272</v>
      </c>
      <c r="J15" s="1" t="s">
        <v>273</v>
      </c>
      <c r="K15" s="1" t="s">
        <v>274</v>
      </c>
      <c r="L15" s="1" t="s">
        <v>72</v>
      </c>
      <c r="M15" s="1" t="s">
        <v>275</v>
      </c>
      <c r="N15" s="1" t="s">
        <v>276</v>
      </c>
      <c r="O15" s="1" t="s">
        <v>48</v>
      </c>
      <c r="P15" s="1" t="s">
        <v>49</v>
      </c>
      <c r="Q15" s="1" t="s">
        <v>75</v>
      </c>
      <c r="R15" s="1" t="s">
        <v>51</v>
      </c>
      <c r="S15" s="1" t="s">
        <v>52</v>
      </c>
      <c r="T15" s="1" t="s">
        <v>51</v>
      </c>
      <c r="U15" s="1" t="s">
        <v>277</v>
      </c>
      <c r="V15" s="1" t="s">
        <v>230</v>
      </c>
      <c r="W15" s="1" t="s">
        <v>62</v>
      </c>
      <c r="X15" s="1" t="s">
        <v>42</v>
      </c>
      <c r="Y15" s="1" t="s">
        <v>278</v>
      </c>
      <c r="Z15" s="1" t="s">
        <v>279</v>
      </c>
      <c r="AA15" s="1" t="s">
        <v>280</v>
      </c>
      <c r="AB15" s="1" t="s">
        <v>281</v>
      </c>
      <c r="AC15" s="1" t="s">
        <v>282</v>
      </c>
      <c r="AD15" s="1"/>
      <c r="AE15" s="1" t="s">
        <v>52</v>
      </c>
      <c r="AF15" s="5">
        <v>46188</v>
      </c>
      <c r="AG15" s="1" t="s">
        <v>61</v>
      </c>
      <c r="AH15" s="1" t="s">
        <v>62</v>
      </c>
      <c r="AI15" s="1" t="s">
        <v>63</v>
      </c>
      <c r="AJ15" s="1" t="str">
        <f t="shared" si="0"/>
        <v>yrbss / yrbs cdc yrbss data (cdc) youth health behaviors, substance use, injury, sexual health, diet, activity open/public open/public maternal/child health mental health; substance use; food/nutrition; hiv/infectious disease; chronic disease; health care utilization/cost; sdoh/geospatial youth risk behavior surveillance system (yrbss); adolescent health; youth risk behaviors; mental health; substance use; tobacco use; vaping; alcohol use; sexual health; hiv risk behaviors; nutrition; physical activity; obesity; school health; violence and injury prevention; health disparities;  yrbss / yrbs; survey survey mental health; substance use; tobacco and vaping; alcohol use; sexual health and hiv risk; nutrition and dietary behaviors; physical activity; obesity; violence and bullying; injury prevention and safety behaviors; school health; health disparities among youth high school students in grades 9–12 attending public and private schools united states other individual high age; sex; grade level; race/ethnicity; tobacco and vaping use; alcohol and drug use; depressive symptoms and suicidal behaviors; sexual behaviors; physical activity; dietary behaviors; height and weight (bmi); bullying and violence exposure; injury and safety behaviors youth risk behavior surveillance; mental health trend analyses; substance use and vaping research; obesity and physical activity studies; sexual health and hiv prevention research; violence and bullying studies; health disparities research; school-based public health evaluations; policy impact assessments; geographic and temporal trend analyses brfss; nhis; add health; acs school-based sample excludes most youth not attending school; self-reported behaviors may be under- or over-reported; primarily cross-sectional data; limited clinical and health outcome measures; some state/local surveys are not comparable across years open/public source; verify citation and download</v>
      </c>
    </row>
    <row r="16" spans="1:36" ht="341.25" customHeight="1">
      <c r="A16" s="1" t="s">
        <v>283</v>
      </c>
      <c r="B16" s="1" t="s">
        <v>284</v>
      </c>
      <c r="C16" s="1" t="s">
        <v>285</v>
      </c>
      <c r="D16" s="4" t="s">
        <v>286</v>
      </c>
      <c r="E16" s="1" t="s">
        <v>287</v>
      </c>
      <c r="F16" s="1" t="s">
        <v>224</v>
      </c>
      <c r="G16" s="1" t="s">
        <v>224</v>
      </c>
      <c r="H16" s="1" t="s">
        <v>137</v>
      </c>
      <c r="I16" s="1" t="s">
        <v>142</v>
      </c>
      <c r="J16" s="1" t="s">
        <v>288</v>
      </c>
      <c r="K16" s="1" t="s">
        <v>289</v>
      </c>
      <c r="L16" s="1" t="s">
        <v>290</v>
      </c>
      <c r="M16" s="1" t="s">
        <v>291</v>
      </c>
      <c r="N16" s="1" t="s">
        <v>292</v>
      </c>
      <c r="O16" s="1" t="s">
        <v>48</v>
      </c>
      <c r="P16" s="1" t="s">
        <v>293</v>
      </c>
      <c r="Q16" s="1" t="s">
        <v>294</v>
      </c>
      <c r="R16" s="1" t="s">
        <v>52</v>
      </c>
      <c r="S16" s="1" t="s">
        <v>51</v>
      </c>
      <c r="T16" s="1" t="s">
        <v>51</v>
      </c>
      <c r="U16" s="1" t="s">
        <v>295</v>
      </c>
      <c r="V16" s="1" t="s">
        <v>95</v>
      </c>
      <c r="W16" s="1" t="s">
        <v>62</v>
      </c>
      <c r="X16" s="1" t="s">
        <v>62</v>
      </c>
      <c r="Y16" s="1" t="s">
        <v>296</v>
      </c>
      <c r="Z16" s="1" t="s">
        <v>297</v>
      </c>
      <c r="AA16" s="1" t="s">
        <v>298</v>
      </c>
      <c r="AB16" s="1" t="s">
        <v>299</v>
      </c>
      <c r="AC16" s="1" t="s">
        <v>282</v>
      </c>
      <c r="AD16" s="1"/>
      <c r="AE16" s="1" t="s">
        <v>60</v>
      </c>
      <c r="AF16" s="5">
        <v>46188</v>
      </c>
      <c r="AG16" s="1" t="s">
        <v>61</v>
      </c>
      <c r="AH16" s="1" t="s">
        <v>62</v>
      </c>
      <c r="AI16" s="1" t="s">
        <v>63</v>
      </c>
      <c r="AJ16" s="1" t="str">
        <f t="shared" si="0"/>
        <v>cdc wonder cdc wonder (cdc wonder) mortality, natality, cancer, population, infectious disease, environmental health queries open/public open/public chronic disease maternal/child health; hiv/infectious disease; substance use; mental health; sdoh/geospatial; health care utilization/cost; environmental exposure; cancer; public health cdc wonder; mortality; causes of death; vital statistics; death certificates; population health; disease burden; life expectancy; chronic disease mortality; injury mortality; overdose deaths; maternal and infant mortality; infectious disease surveillance; geographic variation; public health surveillance; mortality trends reports/dashboard mortality and causes of death; chronic disease burden; injury and overdose deaths; maternal and infant health; infectious diseases; life expectancy; health disparities; geographic variation in health outcomes; public health surveillance; population health trends us community level database from numerous public health sources (aids, births, cancer, natality, etc) united states county report/dashboard medium cause of death; age; sex; race/ethnicity; year of death; geographic location (state; county); mortality counts; mortality rates (crude; age-adjusted); population estimates; births and fertility measures; life expectancy indicators mortality trend analyses; chronic disease surveillance; overdose and injury epidemiology; maternal and infant mortality studies; geographic health disparities research; infectious disease burden assessments; policy impact evaluations; population health monitoring; small-area public health analyses; time-series and forecasting studies acs; cdc places, brfss potential misclassification in death certificate records; ecological analyses can lead to ecological fallacy; small-area estimates may be unstable for rare outcomes; changes in coding practices (e.g., icd revisions) can affect trend comparisons over time open/public source; verify citation and download</v>
      </c>
    </row>
    <row r="17" spans="1:36" ht="153" customHeight="1">
      <c r="A17" s="1" t="s">
        <v>300</v>
      </c>
      <c r="B17" s="1" t="s">
        <v>301</v>
      </c>
      <c r="C17" s="1" t="s">
        <v>302</v>
      </c>
      <c r="D17" s="1" t="s">
        <v>303</v>
      </c>
      <c r="E17" s="1" t="s">
        <v>304</v>
      </c>
      <c r="F17" s="1" t="s">
        <v>224</v>
      </c>
      <c r="G17" s="1" t="s">
        <v>224</v>
      </c>
      <c r="H17" s="1" t="s">
        <v>137</v>
      </c>
      <c r="I17" s="1" t="s">
        <v>49</v>
      </c>
      <c r="J17" s="1" t="s">
        <v>305</v>
      </c>
      <c r="K17" s="1" t="s">
        <v>306</v>
      </c>
      <c r="L17" s="1" t="s">
        <v>92</v>
      </c>
      <c r="M17" s="1" t="s">
        <v>307</v>
      </c>
      <c r="N17" s="1" t="s">
        <v>308</v>
      </c>
      <c r="O17" s="1" t="s">
        <v>48</v>
      </c>
      <c r="P17" s="1" t="s">
        <v>49</v>
      </c>
      <c r="Q17" s="1" t="s">
        <v>49</v>
      </c>
      <c r="R17" s="1" t="s">
        <v>129</v>
      </c>
      <c r="S17" s="1" t="s">
        <v>51</v>
      </c>
      <c r="T17" s="1" t="s">
        <v>129</v>
      </c>
      <c r="U17" s="1" t="s">
        <v>309</v>
      </c>
      <c r="V17" s="1" t="s">
        <v>310</v>
      </c>
      <c r="W17" s="1" t="s">
        <v>62</v>
      </c>
      <c r="X17" s="1" t="s">
        <v>62</v>
      </c>
      <c r="Y17" s="1" t="s">
        <v>311</v>
      </c>
      <c r="Z17" s="1" t="s">
        <v>312</v>
      </c>
      <c r="AA17" s="1" t="s">
        <v>313</v>
      </c>
      <c r="AB17" s="1" t="s">
        <v>314</v>
      </c>
      <c r="AC17" s="1" t="s">
        <v>315</v>
      </c>
      <c r="AD17" s="1"/>
      <c r="AE17" s="1" t="s">
        <v>60</v>
      </c>
      <c r="AF17" s="5">
        <v>46188</v>
      </c>
      <c r="AG17" s="1" t="s">
        <v>117</v>
      </c>
      <c r="AH17" s="1" t="s">
        <v>62</v>
      </c>
      <c r="AI17" s="1" t="s">
        <v>63</v>
      </c>
      <c r="AJ17" s="1" t="str">
        <f t="shared" si="0"/>
        <v>cdc open data portal cdc data (data.cdc.gov) broad cdc public health datasets and dashboards open/public open/public other public health surveillance; chronic disease; infectious disease; environmental health; mental health; injury; vaccinations; disability; tobacco use; policy surveillance; dashboards; open data cdc; public health; surveillance; open data; chronic disease; infectious disease; environmental health; vaccinations; tobacco; injury; disability; mental health; dashboards; datasets; visualization; api; state; county registry/surveillance public health surveillance; chronic disease; infectious disease; environmental health; vaccinations; disability; injury and violence; mental health; tobacco use; policy surveillance; global health varies by dataset; primarily u.s. public health populations, cases, events, jurisdictions, and health indicators united states other other medium varies by dataset; public health indicators; disease surveillance measures; vaccination coverage; chronic disease measures; mortality/morbidity indicators; environmental health indicators; injury and violence measures; tobacco use; disability measures; mental health indicators; jurisdiction, time, and geography variables public health surveillance; open data discovery; state and national trend analyses; dashboard development; chronic disease and infectious disease monitoring; vaccination and tobacco surveillance; environmental health analyses; data visualization and api-based public health research cdc wonder; brfss; cdc places; nhanes; nhis; acs; cdc/atsdr svi; healthdata.gov portal contains heterogeneous datasets with different methods, years, geographies, update schedules, and suppression rules; variable definitions and data quality vary by dataset; some datasets are dashboards or aggregated summaries rather than analysis-ready microdata. open/public portal; no registration generally required for public datasets, though account features may support saved visualizations; verify dataset-specific documentation, citation guidance, update date, api terms, and suppression/privacy notes.</v>
      </c>
    </row>
    <row r="18" spans="1:36" ht="174.75" customHeight="1">
      <c r="A18" s="1" t="s">
        <v>316</v>
      </c>
      <c r="B18" s="1" t="s">
        <v>317</v>
      </c>
      <c r="C18" s="1" t="s">
        <v>318</v>
      </c>
      <c r="D18" s="1" t="s">
        <v>319</v>
      </c>
      <c r="E18" s="1" t="s">
        <v>320</v>
      </c>
      <c r="F18" s="1" t="s">
        <v>224</v>
      </c>
      <c r="G18" s="1" t="s">
        <v>224</v>
      </c>
      <c r="H18" s="1" t="s">
        <v>137</v>
      </c>
      <c r="I18" s="1" t="s">
        <v>142</v>
      </c>
      <c r="J18" s="1" t="s">
        <v>321</v>
      </c>
      <c r="K18" s="1" t="s">
        <v>322</v>
      </c>
      <c r="L18" s="1" t="s">
        <v>323</v>
      </c>
      <c r="M18" s="1" t="s">
        <v>324</v>
      </c>
      <c r="N18" s="1" t="s">
        <v>325</v>
      </c>
      <c r="O18" s="1" t="s">
        <v>48</v>
      </c>
      <c r="P18" s="1" t="s">
        <v>326</v>
      </c>
      <c r="Q18" s="1" t="s">
        <v>327</v>
      </c>
      <c r="R18" s="1" t="s">
        <v>52</v>
      </c>
      <c r="S18" s="1" t="s">
        <v>51</v>
      </c>
      <c r="T18" s="1" t="s">
        <v>52</v>
      </c>
      <c r="U18" s="1" t="s">
        <v>328</v>
      </c>
      <c r="V18" s="1" t="s">
        <v>230</v>
      </c>
      <c r="W18" s="1" t="s">
        <v>42</v>
      </c>
      <c r="X18" s="1" t="s">
        <v>42</v>
      </c>
      <c r="Y18" s="1" t="s">
        <v>329</v>
      </c>
      <c r="Z18" s="1" t="s">
        <v>330</v>
      </c>
      <c r="AA18" s="1" t="s">
        <v>331</v>
      </c>
      <c r="AB18" s="1" t="s">
        <v>332</v>
      </c>
      <c r="AC18" s="1" t="s">
        <v>333</v>
      </c>
      <c r="AD18" s="1"/>
      <c r="AE18" s="1" t="s">
        <v>51</v>
      </c>
      <c r="AF18" s="5">
        <v>46188</v>
      </c>
      <c r="AG18" s="1" t="s">
        <v>117</v>
      </c>
      <c r="AH18" s="1" t="s">
        <v>42</v>
      </c>
      <c r="AI18" s="1" t="s">
        <v>63</v>
      </c>
      <c r="AJ18" s="1" t="str">
        <f t="shared" si="0"/>
        <v>cdc places places data portal (cdc) county, city, census tract, and zip-level chronic disease and health behavior estimates open/public open/public chronic disease chronic disease; health behaviors; preventive care; disability; health status; health-related social needs; sdoh; small-area estimates; geospatial; brfss-derived; acs-derived diabetes; obesity; hypertension; cardiovascular; asthma; copd; cancer; depression; stroke; physical activity; smoking; preventive care; disability; health status; social determinants of health; sdoh; county; census tract; zip/zcta; small-area estimates; brfss; acs geospatial/area-level chronic disease; health behaviors; preventive care; disability; health status; health-related social needs; sdoh; population health; local public health u.s. adult populations aged 18+ represented through model-based local area estimates united states census tract census tract high model-based prevalence estimates; chronic disease outcomes; health risk behaviors; preventive service use; disability; health status; health-related social needs; diabetes; obesity; hypertension; asthma; copd; coronary heart disease; stroke; depression; smoking; physical inactivity; cancer screening; self-rated health; food insecurity; housing insecurity; transportation barriers; social isolation; county/place/tract/zcta identifiers small-area chronic disease surveillance; south carolina county and census tract health profiling; diabetes and obesity hotspot identification; health disparities research; sdoh and vulnerability analyses; local public health planning; resource allocation; community needs assessments; data visualization and mapping brfss; acs; cdc/atsdr svi; county health rankings; usda food environment atlas; usda rucc; cdc wonder; sc dph model-based estimates rather than direct survey measurements; uncertainty should be considered when comparing small areas; measures and methods may vary by release; not individual-level data; some estimates may be suppressed or unstable for small populations. open/public source; no registration required; verify release year, measure definitions, confidence intervals, geography level, citation guidance, and api/download documentation.</v>
      </c>
    </row>
    <row r="19" spans="1:36" ht="409.5" customHeight="1">
      <c r="A19" s="1" t="s">
        <v>334</v>
      </c>
      <c r="B19" s="1" t="s">
        <v>335</v>
      </c>
      <c r="C19" s="1" t="s">
        <v>336</v>
      </c>
      <c r="D19" s="4" t="s">
        <v>337</v>
      </c>
      <c r="E19" s="1" t="s">
        <v>338</v>
      </c>
      <c r="F19" s="1" t="s">
        <v>224</v>
      </c>
      <c r="G19" s="1" t="s">
        <v>224</v>
      </c>
      <c r="H19" s="1" t="s">
        <v>137</v>
      </c>
      <c r="I19" s="1" t="s">
        <v>339</v>
      </c>
      <c r="J19" s="1" t="s">
        <v>340</v>
      </c>
      <c r="K19" s="1" t="s">
        <v>341</v>
      </c>
      <c r="L19" s="1" t="s">
        <v>323</v>
      </c>
      <c r="M19" s="1" t="s">
        <v>342</v>
      </c>
      <c r="N19" s="1" t="s">
        <v>343</v>
      </c>
      <c r="O19" s="1" t="s">
        <v>48</v>
      </c>
      <c r="P19" s="1" t="s">
        <v>326</v>
      </c>
      <c r="Q19" s="1" t="s">
        <v>327</v>
      </c>
      <c r="R19" s="1" t="s">
        <v>52</v>
      </c>
      <c r="S19" s="1" t="s">
        <v>51</v>
      </c>
      <c r="T19" s="1" t="s">
        <v>51</v>
      </c>
      <c r="U19" s="1" t="s">
        <v>344</v>
      </c>
      <c r="V19" s="1" t="s">
        <v>230</v>
      </c>
      <c r="W19" s="1" t="s">
        <v>62</v>
      </c>
      <c r="X19" s="1" t="s">
        <v>42</v>
      </c>
      <c r="Y19" s="1" t="s">
        <v>345</v>
      </c>
      <c r="Z19" s="1" t="s">
        <v>346</v>
      </c>
      <c r="AA19" s="1" t="s">
        <v>347</v>
      </c>
      <c r="AB19" s="1" t="s">
        <v>348</v>
      </c>
      <c r="AC19" s="1" t="s">
        <v>349</v>
      </c>
      <c r="AD19" s="1"/>
      <c r="AE19" s="1" t="s">
        <v>51</v>
      </c>
      <c r="AF19" s="5">
        <v>46189</v>
      </c>
      <c r="AG19" s="1" t="s">
        <v>61</v>
      </c>
      <c r="AH19" s="1" t="s">
        <v>42</v>
      </c>
      <c r="AI19" s="1" t="s">
        <v>63</v>
      </c>
      <c r="AJ19" s="1" t="str">
        <f t="shared" si="0"/>
        <v>cdc/atsdr social vulnerability index — svi svi data download (atsdr) county and census tract social vulnerability measures open/public open/public sdoh/geospatial environmental exposure; chronic disease; maternal/child health; mental health; hiv/infectious disease; health care utilization/cost; rurality; south carolina/local data; svi; vulnerability; census tract; social determinants; poverty; income; education cdc social vulnerability index (svi); social vulnerability; social determinants of health (sdoh); community vulnerability; neighborhood disadvantage; socioeconomic status; health equity; environmental justice; disaster preparedness; resilience; census tract data; geographic disparities; vulnerable populations; community risk factors; place-based health; svi; svi geospatial/area-level social determinants of health; community vulnerability; health equity and disparities; socioeconomic disadvantage; environmental justice; disaster preparedness and recovery; access to transportation and housing; vulnerable populations; geographic health disparities; community resilience comprised of us communities at the census tract and county levels united states census tract census tract high socioeconomic status (poverty; unemployment; income; education); household composition (age 65+; age &lt;18; disability; single-parent households); minority status and language; housing type and transportation; overall svi score/ranking; theme-specific vulnerability scores; census tract and county identifiers health disparities research; social determinants of health analyses; environmental justice studies; disaster preparedness and response planning; community vulnerability mapping; resource allocation and needs assessment; geographic risk stratification; public health program targeting; health equity evaluations; contextual linkage to clinical or survey datasets acs; cdc places; county health rankings &amp; roadmaps; nhis; nhanes; brfss; cdc wonder; cdc environmental public health tracking network; epa air quality system (aqs); all of us research program area-level measures cannot be interpreted at the individual level (ecological fallacy); updated periodically rather than continuously; vulnerability indices may mask within-area heterogeneity; methodology changes across releases can affect comparisons over time; intended for population-level planning rather than individual risk assessment publicly available data; derived from u.s. census/acs sources; no individual-level identifiers; no irb typically required for standalone use; may be linked with restricted datasets subject to additional data use agreements and privacy requirements</v>
      </c>
    </row>
    <row r="20" spans="1:36" ht="409.5" customHeight="1">
      <c r="A20" s="1" t="s">
        <v>350</v>
      </c>
      <c r="B20" s="1" t="s">
        <v>351</v>
      </c>
      <c r="C20" s="1" t="s">
        <v>352</v>
      </c>
      <c r="D20" s="4" t="s">
        <v>353</v>
      </c>
      <c r="E20" s="1" t="s">
        <v>354</v>
      </c>
      <c r="F20" s="1" t="s">
        <v>224</v>
      </c>
      <c r="G20" s="1" t="s">
        <v>224</v>
      </c>
      <c r="H20" s="1" t="s">
        <v>137</v>
      </c>
      <c r="I20" s="1" t="s">
        <v>339</v>
      </c>
      <c r="J20" s="1" t="s">
        <v>355</v>
      </c>
      <c r="K20" s="1" t="s">
        <v>356</v>
      </c>
      <c r="L20" s="1" t="s">
        <v>72</v>
      </c>
      <c r="M20" s="1" t="s">
        <v>357</v>
      </c>
      <c r="N20" s="1" t="s">
        <v>358</v>
      </c>
      <c r="O20" s="1" t="s">
        <v>48</v>
      </c>
      <c r="P20" s="1" t="s">
        <v>326</v>
      </c>
      <c r="Q20" s="1" t="s">
        <v>75</v>
      </c>
      <c r="R20" s="1" t="s">
        <v>51</v>
      </c>
      <c r="S20" s="1" t="s">
        <v>51</v>
      </c>
      <c r="T20" s="1" t="s">
        <v>51</v>
      </c>
      <c r="U20" s="1" t="s">
        <v>359</v>
      </c>
      <c r="V20" s="1" t="s">
        <v>360</v>
      </c>
      <c r="W20" s="1" t="s">
        <v>62</v>
      </c>
      <c r="X20" s="1" t="s">
        <v>42</v>
      </c>
      <c r="Y20" s="1" t="s">
        <v>361</v>
      </c>
      <c r="Z20" s="1" t="s">
        <v>362</v>
      </c>
      <c r="AA20" s="1" t="s">
        <v>363</v>
      </c>
      <c r="AB20" s="1" t="s">
        <v>364</v>
      </c>
      <c r="AC20" s="1" t="s">
        <v>365</v>
      </c>
      <c r="AD20" s="1"/>
      <c r="AE20" s="1" t="s">
        <v>51</v>
      </c>
      <c r="AF20" s="5">
        <v>46189</v>
      </c>
      <c r="AG20" s="1" t="s">
        <v>61</v>
      </c>
      <c r="AH20" s="1" t="s">
        <v>42</v>
      </c>
      <c r="AI20" s="1" t="s">
        <v>63</v>
      </c>
      <c r="AJ20" s="1" t="str">
        <f t="shared" si="0"/>
        <v>u.s. census american community survey — acs acs api (census.gov) demographic, socioeconomic, housing, insurance, education, employment variables open/public open/public sdoh/geospatial rurality; south carolina/local data; aging; maternal/child health, mental health, chronic disease  american community survey (acs); u.s. census bureau; social determinants of health (sdoh); demographics; socioeconomic status; poverty; education; income; employment; housing; health insurance; census tract; geospatial data; neighborhood characteristics; rurality; population health; health disparities; social vulnerability; south carolina data survey sdoh/geospatial; rurality; south carolina/local data; aging; maternal/child health; chronic disease; mental health; health care utilization/cost economic, social, demographic, housing data - areas/regions with populations of +65,000 for 1 year acs or less than 20,000 for 5 year acs united states census tract individual high age; sex; race/ethnicity; educational attainment; household income; poverty status; employment status; occupation; health insurance coverage; disability status; housing tenure (owner/renter); housing costs; household composition; language spoken at home; nativity/immigration status; transportation access; internet access health disparities research; social determinants of health (sdoh) studies; population health surveillance; community needs assessments; geographic and neighborhood analyses; rural–urban comparisons; health equity research; demographic and socioeconomic trend analyses; resource allocation and policy evaluation; small-area estimation and spatial epidemiology cdc places; county health rankings &amp; roadmaps; cdc/atsdr social vulnerability index (svi); ahrq sdoh database; hrsa area health resources files (ahrf) self-reported survey data; sampling error and margins of error can be substantial for small geographic areas or subpopulations; cross-sectional design limits causal inference; limited health-related measures; estimates may be unstable for rare populations or small areas; geographic boundaries and variable definitions can change over time; public-use data may be aggregated to protect confidentiality publicly available dataset administered by the u.s. census bureau; no individual-level identifiers in public-use files; data are subject to census confidentiality protections and disclosure avoidance procedures; use of estimates should account for survey weights and margins of error; citation of acs source year(s) and data products is recommended; generally low restrictions on use, redistribution, and publication of aggregated results</v>
      </c>
    </row>
    <row r="21" spans="1:36" ht="409.5" customHeight="1">
      <c r="A21" s="1" t="s">
        <v>366</v>
      </c>
      <c r="B21" s="1" t="s">
        <v>367</v>
      </c>
      <c r="C21" s="1" t="s">
        <v>368</v>
      </c>
      <c r="D21" s="4" t="s">
        <v>369</v>
      </c>
      <c r="E21" s="1" t="s">
        <v>370</v>
      </c>
      <c r="F21" s="1" t="s">
        <v>224</v>
      </c>
      <c r="G21" s="1" t="s">
        <v>224</v>
      </c>
      <c r="H21" s="1" t="s">
        <v>137</v>
      </c>
      <c r="I21" s="1" t="s">
        <v>339</v>
      </c>
      <c r="J21" s="1" t="s">
        <v>371</v>
      </c>
      <c r="K21" s="1" t="s">
        <v>372</v>
      </c>
      <c r="L21" s="1" t="s">
        <v>323</v>
      </c>
      <c r="M21" s="1" t="s">
        <v>373</v>
      </c>
      <c r="N21" s="1" t="s">
        <v>374</v>
      </c>
      <c r="O21" s="1" t="s">
        <v>375</v>
      </c>
      <c r="P21" s="1" t="s">
        <v>293</v>
      </c>
      <c r="Q21" s="1" t="s">
        <v>376</v>
      </c>
      <c r="R21" s="1" t="s">
        <v>52</v>
      </c>
      <c r="S21" s="1" t="s">
        <v>51</v>
      </c>
      <c r="T21" s="1" t="s">
        <v>51</v>
      </c>
      <c r="U21" s="1" t="s">
        <v>377</v>
      </c>
      <c r="V21" s="1" t="s">
        <v>230</v>
      </c>
      <c r="W21" s="1" t="s">
        <v>62</v>
      </c>
      <c r="X21" s="1" t="s">
        <v>42</v>
      </c>
      <c r="Y21" s="1" t="s">
        <v>378</v>
      </c>
      <c r="Z21" s="1" t="s">
        <v>379</v>
      </c>
      <c r="AA21" s="1" t="s">
        <v>380</v>
      </c>
      <c r="AB21" s="1" t="s">
        <v>381</v>
      </c>
      <c r="AC21" s="1" t="s">
        <v>382</v>
      </c>
      <c r="AD21" s="1"/>
      <c r="AE21" s="1" t="s">
        <v>51</v>
      </c>
      <c r="AF21" s="5">
        <v>46189</v>
      </c>
      <c r="AG21" s="1" t="s">
        <v>61</v>
      </c>
      <c r="AH21" s="1" t="s">
        <v>42</v>
      </c>
      <c r="AI21" s="1" t="s">
        <v>63</v>
      </c>
      <c r="AJ21" s="1" t="str">
        <f t="shared" si="0"/>
        <v>county health rankings &amp; roadmaps county health rankings data (county health rankings &amp; roadmaps) county-level health outcomes, health factors, social and economic indicators open/public open/public sdoh/geospatial health care utilization/cost; rurality; chronic disease; maternal/child health; mental health; substance use; south carolina/local data county health rankings &amp; roadmaps; county health rankings; population health; social determinants of health (sdoh); health outcomes; health factors; health disparities; health equity; county-level data; community health; health behaviors; clinical care; physical environment; socioeconomic factors; rural health; geographic variation; public health surveillance; population health indicators geospatial/area-level sdoh/geospatial; chronic disease; mental health; substance use; maternal/child health; health care utilization/cost; rurality community level data, as well as disaggregated data to examine racialized trends or patterns, snapshots of county health before yearly measurements conclude county-level county country high life expectancy; premature mortality; poor physical health days; poor mental health days; adult smoking; obesity; physical inactivity; excessive drinking; uninsured rate; primary care physician ratio; preventable hospital stays; high school graduation; unemployment; income inequality; children in poverty; air pollution; housing problems health disparities research; population health assessment; community health needs assessments; social determinants of health (sdoh) analyses; rural health studies; geographic variation and spatial epidemiology; health equity research; public health program planning and evaluation; resource allocation and policy analysis u.s. census american community survey (acs); cdc places; cdc/atsdr social vulnerability index (svi); ahrq sdoh database; hrsa area health resources files (ahrf) ecological (county-level) data may not reflect individual-level relationships; variable definitions and data sources may change over time; time lags exist for some indicators; county-level aggregation can mask within-county disparities; limited granularity for local analyses below the county level; rankings are influenced by methodological choices and weighting schemes; not suitable for causal inference publicly available dataset maintained by county health rankings &amp; roadmaps (university of wisconsin population health institute and partners); derived from multiple federal and state data sources; aggregated county-level data with no individual identifiers; generally no use restrictions for research, education, and public health applications; users should cite both county health rankings and the original source datasets when appropriate; methodology and indicator definitions are updated periodically and should be documented in analyses</v>
      </c>
    </row>
    <row r="22" spans="1:36" ht="409.5" customHeight="1">
      <c r="A22" s="1" t="s">
        <v>383</v>
      </c>
      <c r="B22" s="1" t="s">
        <v>384</v>
      </c>
      <c r="C22" s="1" t="s">
        <v>385</v>
      </c>
      <c r="D22" s="4" t="s">
        <v>386</v>
      </c>
      <c r="E22" s="1" t="s">
        <v>387</v>
      </c>
      <c r="F22" s="1" t="s">
        <v>224</v>
      </c>
      <c r="G22" s="1" t="s">
        <v>224</v>
      </c>
      <c r="H22" s="1" t="s">
        <v>137</v>
      </c>
      <c r="I22" s="1" t="s">
        <v>339</v>
      </c>
      <c r="J22" s="1" t="s">
        <v>371</v>
      </c>
      <c r="K22" s="1" t="s">
        <v>388</v>
      </c>
      <c r="L22" s="1" t="s">
        <v>323</v>
      </c>
      <c r="M22" s="1" t="s">
        <v>389</v>
      </c>
      <c r="N22" s="1" t="s">
        <v>390</v>
      </c>
      <c r="O22" s="1" t="s">
        <v>48</v>
      </c>
      <c r="P22" s="1" t="s">
        <v>293</v>
      </c>
      <c r="Q22" s="1" t="s">
        <v>49</v>
      </c>
      <c r="R22" s="1" t="s">
        <v>52</v>
      </c>
      <c r="S22" s="1" t="s">
        <v>51</v>
      </c>
      <c r="T22" s="1" t="s">
        <v>51</v>
      </c>
      <c r="U22" s="1" t="s">
        <v>391</v>
      </c>
      <c r="V22" s="1" t="s">
        <v>230</v>
      </c>
      <c r="W22" s="1" t="s">
        <v>62</v>
      </c>
      <c r="X22" s="1" t="s">
        <v>42</v>
      </c>
      <c r="Y22" s="1" t="s">
        <v>392</v>
      </c>
      <c r="Z22" s="1" t="s">
        <v>393</v>
      </c>
      <c r="AA22" s="1" t="s">
        <v>394</v>
      </c>
      <c r="AB22" s="1" t="s">
        <v>395</v>
      </c>
      <c r="AC22" s="1" t="s">
        <v>396</v>
      </c>
      <c r="AD22" s="1"/>
      <c r="AE22" s="1" t="s">
        <v>51</v>
      </c>
      <c r="AF22" s="5">
        <v>46189</v>
      </c>
      <c r="AG22" s="1" t="s">
        <v>61</v>
      </c>
      <c r="AH22" s="1" t="s">
        <v>42</v>
      </c>
      <c r="AI22" s="1" t="s">
        <v>63</v>
      </c>
      <c r="AJ22" s="1" t="str">
        <f t="shared" si="0"/>
        <v>ahrq sdoh database ahrq sdoh data &amp; analytics (ahrq) linkable social determinants of health variables from federal and public sources open/public open/public sdoh/geospatial health care utilization/cost; rurality; chronic disease; maternal/child health; mental health; substance use; south carolina/local data ahrq sdoh database; agency for healthcare research and quality; social determinants of health (sdoh); area-level measures; community characteristics; neighborhood characteristics; socioeconomic factors; healthcare access; social context; built environment; demographics; geographic disparities; health equity; population health; census-linked data; county-level data; zip code-level data geospatial/area-level sdoh/geospatial; health care utilization/cost; rurality; chronic disease; mental health; maternal/child health; health equity a curated collection of us community-level social determinants of health indicators—including demographic, economic, educational, housing, environmental, and healthcare access measures - compiled from many data sources united states county other high median household income; poverty rate; educational attainment; unemployment rate; housing cost burden; homeownership rate; income inequality; vehicle access; broadband/internet access; food access; population density; rurality; health insurance coverage; racial/ethnic composition; linguistic isolation; social vulnerability indicators health disparities research; social determinants of health (sdoh) analyses; health equity studies; geographic and neighborhood effects research; risk adjustment and contextual covariate modeling; healthcare access analyses; rural health studies; spatial epidemiology; community needs assessments; population health research u.s. census american community survey (acs); county health rankings &amp; roadmaps; cdc places; cdc/atsdr social vulnerability index (svi) area-level measures may not reflect individual circumstances (ecological fallacy); variable availability and geographic resolution vary across indicators; data are derived from multiple sources with differing methodologies and update schedules; time lags may affect current relevance; missing or suppressed data may occur in small areas; geographic boundary changes can affect longitudinal analyses; not suitable for individual-level causal inference publicly available dataset maintained by the agency for healthcare research and quality (ahrq); compiles area-level indicators from multiple federal data sources; contains no individual-level identifiers; generally low restrictions on use, sharing, and publication; users should cite both ahrq and the original source datasets when applicable; indicator definitions, geographic coverage, and update schedules may vary by data source and should be documented in analyses</v>
      </c>
    </row>
    <row r="23" spans="1:36" ht="104.25" customHeight="1">
      <c r="A23" s="1" t="s">
        <v>397</v>
      </c>
      <c r="B23" s="1" t="s">
        <v>398</v>
      </c>
      <c r="C23" s="1" t="s">
        <v>399</v>
      </c>
      <c r="D23" s="4" t="s">
        <v>400</v>
      </c>
      <c r="E23" s="1" t="s">
        <v>401</v>
      </c>
      <c r="F23" s="1" t="s">
        <v>224</v>
      </c>
      <c r="G23" s="1" t="s">
        <v>224</v>
      </c>
      <c r="H23" s="1" t="s">
        <v>137</v>
      </c>
      <c r="I23" s="1" t="s">
        <v>402</v>
      </c>
      <c r="J23" s="1" t="s">
        <v>403</v>
      </c>
      <c r="K23" s="1" t="s">
        <v>404</v>
      </c>
      <c r="L23" s="1" t="s">
        <v>323</v>
      </c>
      <c r="M23" s="1" t="s">
        <v>405</v>
      </c>
      <c r="N23" s="1" t="s">
        <v>406</v>
      </c>
      <c r="O23" s="1" t="s">
        <v>48</v>
      </c>
      <c r="P23" s="1" t="s">
        <v>293</v>
      </c>
      <c r="Q23" s="1" t="s">
        <v>376</v>
      </c>
      <c r="R23" s="1" t="s">
        <v>52</v>
      </c>
      <c r="S23" s="1" t="s">
        <v>51</v>
      </c>
      <c r="T23" s="1" t="s">
        <v>51</v>
      </c>
      <c r="U23" s="1" t="s">
        <v>407</v>
      </c>
      <c r="V23" s="1" t="s">
        <v>54</v>
      </c>
      <c r="W23" s="1" t="s">
        <v>42</v>
      </c>
      <c r="X23" s="1" t="s">
        <v>42</v>
      </c>
      <c r="Y23" s="1" t="s">
        <v>408</v>
      </c>
      <c r="Z23" s="1" t="s">
        <v>409</v>
      </c>
      <c r="AA23" s="1" t="s">
        <v>410</v>
      </c>
      <c r="AB23" s="1" t="s">
        <v>411</v>
      </c>
      <c r="AC23" s="1" t="s">
        <v>412</v>
      </c>
      <c r="AD23" s="1"/>
      <c r="AE23" s="1" t="s">
        <v>51</v>
      </c>
      <c r="AF23" s="5">
        <v>46189</v>
      </c>
      <c r="AG23" s="1" t="s">
        <v>61</v>
      </c>
      <c r="AH23" s="1" t="s">
        <v>42</v>
      </c>
      <c r="AI23" s="1" t="s">
        <v>63</v>
      </c>
      <c r="AJ23" s="1" t="str">
        <f t="shared" si="0"/>
        <v>hrsa area health resources files — ahrf hrsa ahrf (ahrf) county, state, and national health workforce, facilities, population, economics open/public open/public health care utilization/cost sdoh/geospatial; rurality; chronic disease; maternal/child health; mental health; substance use; south carolina/local data hrsa area health resources files (ahrf); ahrf; health resources and services administration; healthcare workforce; healthcare access; health services resources; provider supply; physician workforce; hospital resources; health professional shortage areas (hpsa); medically underserved areas (mua); county-level health data; rural health; healthcare utilization; population health; health disparities; health services research geospatial/area-level health care utilization/cost; sdoh/geospatial; rurality; health services research; healthcare workforce; healthcare access; health disparities aggregated data on health professions, facilities, population demgraphics, and hospital utilization/expenditure (6000 variables) at geographic levels united states county country high primary care physicians per capita; specialist physicians per capita; dentists per capita; hospital beds; health facilities; health professional shortage area (hpsa) status; medically underserved area/population (mua/p) status; population demographics; poverty rate; unemployment rate; health insurance coverage; medicare utilization; rurality indicators; healthcare workforce supply; healthcare access measures health services research; healthcare workforce analyses; healthcare access and provider shortage studies; rural health research; health disparities and equity analyses; resource allocation and workforce planning; population health and community health assessments; geographic variation studies; healthcare policy evaluation u.s. census american community survey (acs); ahrq sdoh database; county health rankings &amp; roadmaps; cdc places; cms data county-level aggregate data only; not suitable for individual-level analyses; variable definitions and data sources may change across years; data are compiled from multiple federal sources with differing update schedules and methodologies; time lags may affect workforce and facility measures; missing or suppressed values may occur for some counties; county-level measures may mask within-county variation and disparities publicly available dataset maintained by the health resources and services administration (hrsa); aggregates data from multiple federal sources; contains no individual-level identifiers or protected health information; generally low restrictions on use, sharing, and publication; users should cite hrsa ahrf and original source datasets when appropriate; variable definitions, source agencies, and update schedules should be documented when conducting longitudinal analyses</v>
      </c>
    </row>
    <row r="24" spans="1:36" ht="261" customHeight="1">
      <c r="A24" s="1" t="s">
        <v>413</v>
      </c>
      <c r="B24" s="1" t="s">
        <v>414</v>
      </c>
      <c r="C24" s="1" t="s">
        <v>415</v>
      </c>
      <c r="D24" s="4" t="s">
        <v>416</v>
      </c>
      <c r="E24" s="1" t="s">
        <v>417</v>
      </c>
      <c r="F24" s="1" t="s">
        <v>224</v>
      </c>
      <c r="G24" s="1" t="s">
        <v>224</v>
      </c>
      <c r="H24" s="1" t="s">
        <v>62</v>
      </c>
      <c r="I24" s="1" t="s">
        <v>402</v>
      </c>
      <c r="J24" s="1" t="s">
        <v>418</v>
      </c>
      <c r="K24" s="1" t="s">
        <v>419</v>
      </c>
      <c r="L24" s="1" t="s">
        <v>72</v>
      </c>
      <c r="M24" s="1" t="s">
        <v>420</v>
      </c>
      <c r="N24" s="1" t="s">
        <v>421</v>
      </c>
      <c r="O24" s="1" t="s">
        <v>48</v>
      </c>
      <c r="P24" s="1" t="s">
        <v>49</v>
      </c>
      <c r="Q24" s="1" t="s">
        <v>75</v>
      </c>
      <c r="R24" s="1" t="s">
        <v>51</v>
      </c>
      <c r="S24" s="1" t="s">
        <v>129</v>
      </c>
      <c r="T24" s="1" t="s">
        <v>51</v>
      </c>
      <c r="U24" s="1" t="s">
        <v>422</v>
      </c>
      <c r="V24" s="1" t="s">
        <v>423</v>
      </c>
      <c r="W24" s="1" t="s">
        <v>62</v>
      </c>
      <c r="X24" s="1" t="s">
        <v>62</v>
      </c>
      <c r="Y24" s="1" t="s">
        <v>424</v>
      </c>
      <c r="Z24" s="1" t="s">
        <v>425</v>
      </c>
      <c r="AA24" s="1" t="s">
        <v>426</v>
      </c>
      <c r="AB24" s="1" t="s">
        <v>427</v>
      </c>
      <c r="AC24" s="1" t="s">
        <v>428</v>
      </c>
      <c r="AD24" s="1"/>
      <c r="AE24" s="1" t="s">
        <v>51</v>
      </c>
      <c r="AF24" s="5">
        <v>46189</v>
      </c>
      <c r="AG24" s="1" t="s">
        <v>117</v>
      </c>
      <c r="AH24" s="1" t="s">
        <v>42</v>
      </c>
      <c r="AI24" s="1" t="s">
        <v>63</v>
      </c>
      <c r="AJ24" s="1" t="str">
        <f t="shared" si="0"/>
        <v>meps ahrq meps public use files (medical expenditure panel survey) health care cost, utilization, insurance, access, expenditures open/public open/public health care utilization/cost survey; health care utilization; health expenditures; health insurance; access to care; out-of-pocket spending; medical providers; employers; health status; chronic conditions; prescription medicines; disparities utilization; cost; expenditure; insurance; access; provider; enrollment; payment; quality; out-of-pocket spending; medical care; health services; prescription medicines; health status; chronic conditions; disparities; meps; ahrq; survey survey health care utilization; health care costs; health insurance coverage; access to care; out-of-pocket spending; medical expenditures; prescription medicines; health status; chronic disease; health disparities u.s. civilian noninstitutionalized population united states other individual medium demographics; health status; health insurance coverage; access to care; health care utilization; medical expenditures; out-of-pocket spending; source of payment; office-based visits; hospital inpatient stays; emergency department visits; prescription medicines; dental visits; home health; medical conditions; chronic conditions; employment; income; family characteristics; provider-reported utilization and expenditure data health care utilization and cost analyses; insurance coverage studies; out-of-pocket spending research; access to care analyses; prescription drug expenditure studies; chronic disease cost burden research; health disparities research; policy evaluation; national trend analyses nhis; brfss; nhanes; cms data; hcup / hcupnet; acs; cdc places survey-based data may be subject to recall and reporting bias; public-use geography is limited; complex survey design and weights must be used; data are nationally representative but may be limited for state- or local-level analysis; variables and file structure vary by year and component. open/public source; no registration required for public-use files; verify file type, survey component, documentation, codebook, weights, variance estimation guidance, and citation requirements before analysis.</v>
      </c>
    </row>
    <row r="25" spans="1:36" ht="409.5" customHeight="1">
      <c r="A25" s="1" t="s">
        <v>429</v>
      </c>
      <c r="B25" s="1" t="s">
        <v>430</v>
      </c>
      <c r="C25" s="1" t="s">
        <v>431</v>
      </c>
      <c r="D25" s="4" t="s">
        <v>432</v>
      </c>
      <c r="E25" s="1" t="s">
        <v>433</v>
      </c>
      <c r="F25" s="1" t="s">
        <v>434</v>
      </c>
      <c r="G25" s="1" t="s">
        <v>435</v>
      </c>
      <c r="H25" s="1" t="s">
        <v>62</v>
      </c>
      <c r="I25" s="1" t="s">
        <v>436</v>
      </c>
      <c r="J25" s="1" t="s">
        <v>437</v>
      </c>
      <c r="K25" s="1" t="s">
        <v>438</v>
      </c>
      <c r="L25" s="1" t="s">
        <v>439</v>
      </c>
      <c r="M25" s="1" t="s">
        <v>440</v>
      </c>
      <c r="N25" s="7" t="s">
        <v>441</v>
      </c>
      <c r="O25" s="1" t="s">
        <v>48</v>
      </c>
      <c r="P25" s="1" t="s">
        <v>259</v>
      </c>
      <c r="Q25" s="1" t="s">
        <v>50</v>
      </c>
      <c r="R25" s="1" t="s">
        <v>51</v>
      </c>
      <c r="S25" s="1" t="s">
        <v>51</v>
      </c>
      <c r="T25" s="1" t="s">
        <v>51</v>
      </c>
      <c r="U25" s="1" t="s">
        <v>442</v>
      </c>
      <c r="V25" s="1" t="s">
        <v>423</v>
      </c>
      <c r="W25" s="1" t="s">
        <v>62</v>
      </c>
      <c r="X25" s="1" t="s">
        <v>62</v>
      </c>
      <c r="Y25" s="1" t="s">
        <v>443</v>
      </c>
      <c r="Z25" s="1" t="s">
        <v>444</v>
      </c>
      <c r="AA25" s="1" t="s">
        <v>445</v>
      </c>
      <c r="AB25" s="1" t="s">
        <v>446</v>
      </c>
      <c r="AC25" s="1" t="s">
        <v>447</v>
      </c>
      <c r="AD25" s="1"/>
      <c r="AE25" s="1" t="s">
        <v>51</v>
      </c>
      <c r="AF25" s="5">
        <v>46189</v>
      </c>
      <c r="AG25" s="1" t="s">
        <v>117</v>
      </c>
      <c r="AH25" s="1" t="s">
        <v>62</v>
      </c>
      <c r="AI25" s="1" t="s">
        <v>448</v>
      </c>
      <c r="AJ25" s="1" t="str">
        <f t="shared" si="0"/>
        <v>hcup / hcupnet ahrq hcup (hcup-us) hospital inpatient, emergency department, ambulatory surgery, cost and utilization data public query tools; full datasets restricted/purchased public query plus restricted/purchased claims/payment/provider hospital care; inpatient care; emergency department; ambulatory surgery; health care utilization; health care costs; charges; quality; outcomes; all-payer; administrative data; patient encounters; state databases; national databases utilization; cost; hospital; inpatient; emergency department; ambulatory surgery; discharge; all-payer; charges; quality; outcomes; access; readmissions; patient encounters; administrative data; nis; kid; neds; nrd; sid; sedd; sasd; hcupnet claims/payment health care utilization; hospital care; inpatient stays; emergency department visits; ambulatory surgery; readmissions; health care costs and charges; health care quality; patient outcomes; access to care patients with hospital-based encounters in participating u.s. community hospitals and related care settings united states state patient medium demographics; diagnoses; procedures; hospital discharges; inpatient stays; emergency department visits; ambulatory surgery encounters; length of stay; charges; expected payer; admission source; discharge disposition; readmissions; hospital characteristics; clinical classifications; comorbidities; quality indicators; patient safety indicators; outcomes hospital utilization analyses; inpatient and emergency department trend studies; readmission analyses; health care cost and charge studies; quality and patient safety research; access to care analyses; payer and insurance comparisons; procedure and diagnosis trends; policy evaluation; national and state hospital care comparisons nis; kid; nass; neds; nrd; sid; sasd; sedd; hcupnet; hcup fast stats administrative encounter data collected for billing and discharge reporting; coding practices and payer rules may change over time; access to full databases requires purchase, training, and data use agreements; public query tools are aggregated; geography and linkage options vary by database and state; not ideal for direct clinical detail or longitudinal patient follow-up across all files. public hcup tools are available for query; full hcup databases require application/purchase, completion of hcup data use training, and a data use agreement; state database availability and restrictions vary by partner organization.</v>
      </c>
    </row>
    <row r="26" spans="1:36" ht="126.75" customHeight="1">
      <c r="A26" s="1" t="s">
        <v>449</v>
      </c>
      <c r="B26" s="1" t="s">
        <v>450</v>
      </c>
      <c r="C26" s="1" t="s">
        <v>451</v>
      </c>
      <c r="D26" s="4" t="s">
        <v>452</v>
      </c>
      <c r="E26" s="1" t="s">
        <v>453</v>
      </c>
      <c r="F26" s="1" t="s">
        <v>454</v>
      </c>
      <c r="G26" s="1" t="s">
        <v>455</v>
      </c>
      <c r="H26" s="1" t="s">
        <v>137</v>
      </c>
      <c r="I26" s="1" t="s">
        <v>436</v>
      </c>
      <c r="J26" s="1" t="s">
        <v>456</v>
      </c>
      <c r="K26" s="1" t="s">
        <v>457</v>
      </c>
      <c r="L26" s="1" t="s">
        <v>439</v>
      </c>
      <c r="M26" s="1" t="s">
        <v>458</v>
      </c>
      <c r="N26" s="1" t="s">
        <v>459</v>
      </c>
      <c r="O26" s="1" t="s">
        <v>48</v>
      </c>
      <c r="P26" s="1" t="s">
        <v>49</v>
      </c>
      <c r="Q26" s="1" t="s">
        <v>49</v>
      </c>
      <c r="R26" s="1" t="s">
        <v>129</v>
      </c>
      <c r="S26" s="1" t="s">
        <v>51</v>
      </c>
      <c r="T26" s="1" t="s">
        <v>129</v>
      </c>
      <c r="U26" s="1" t="s">
        <v>309</v>
      </c>
      <c r="V26" s="1" t="s">
        <v>309</v>
      </c>
      <c r="W26" s="1" t="s">
        <v>62</v>
      </c>
      <c r="X26" s="1" t="s">
        <v>62</v>
      </c>
      <c r="Y26" s="1" t="s">
        <v>460</v>
      </c>
      <c r="Z26" s="1" t="s">
        <v>461</v>
      </c>
      <c r="AA26" s="1" t="s">
        <v>462</v>
      </c>
      <c r="AB26" s="1" t="s">
        <v>463</v>
      </c>
      <c r="AC26" s="1" t="s">
        <v>464</v>
      </c>
      <c r="AD26" s="1"/>
      <c r="AE26" s="1" t="s">
        <v>51</v>
      </c>
      <c r="AF26" s="5">
        <v>46189</v>
      </c>
      <c r="AG26" s="1" t="s">
        <v>117</v>
      </c>
      <c r="AH26" s="1" t="s">
        <v>62</v>
      </c>
      <c r="AI26" s="1" t="s">
        <v>63</v>
      </c>
      <c r="AJ26" s="1" t="str">
        <f t="shared" si="0"/>
        <v>cms data cms data (cms data) medicare, medicaid, provider, payment, quality, enrollment, public-use files open/public plus restricted files open plus controlled data claims/payment/provider health care utilization/cost; medicare; medicaid; claims; payment; provider; quality; enrollment; hospital; nursing homes; insurance; public reporting claims; medicare; medicaid; chip; provider; payment; enrollment; utilization; quality; beneficiaries; hospital; nursing home; plan; marketplace; insurance; reimbursement; public use files; dashboard; synthetic claims; cms claims/payment medicare; medicaid; chip; health insurance marketplace; claims and payment; provider utilization; enrollment; quality measures; health care utilization; health care costs; hospitals; nursing homes; insurance coverage medicare, medicaid, chip, and health insurance marketplace beneficiaries, enrollees, providers, plans, and health care organizations united states other other medium beneficiary/enrollee counts; provider identifiers; provider characteristics; plan characteristics; claims/payment summaries; utilization measures; medicare services and procedures; medicaid/chip measures; enrollment measures; quality measures; hospital measures; nursing home measures; marketplace plan data; geographic indicators; year/time variables medicare and medicaid utilization analyses; provider and payment transparency; health care quality comparisons; insurance enrollment analyses; marketplace plan research; hospital and nursing home public reporting; policy evaluation; health care access and cost analyses; dashboard development resdac; cms medicare claims; meps; hcup / hcupnet; acs; brfss; cdc places; healthcare.gov pufs portal includes heterogeneous datasets with different methods, years, geographies, update schedules, and suppression rules; many public files are aggregated or de-identified rather than full claims microdata; restricted cms data may be needed for person-level claims research; verify dataset-specific documentation and licensing terms. open/public portal for public-use files, dashboards, and tools; restricted cms data may require request approval, dua, fees, and secure access through cms/resdac pathways; verify dataset-specific access tier, documentation, citation, and privacy/suppression rules.</v>
      </c>
    </row>
    <row r="27" spans="1:36" ht="409.5" customHeight="1">
      <c r="A27" s="1" t="s">
        <v>465</v>
      </c>
      <c r="B27" s="1" t="s">
        <v>466</v>
      </c>
      <c r="C27" s="1" t="s">
        <v>467</v>
      </c>
      <c r="D27" s="4" t="s">
        <v>468</v>
      </c>
      <c r="E27" s="1" t="s">
        <v>469</v>
      </c>
      <c r="F27" s="1" t="s">
        <v>41</v>
      </c>
      <c r="G27" s="1" t="s">
        <v>435</v>
      </c>
      <c r="H27" s="1" t="s">
        <v>137</v>
      </c>
      <c r="I27" s="1" t="s">
        <v>436</v>
      </c>
      <c r="J27" s="1" t="s">
        <v>470</v>
      </c>
      <c r="K27" s="1" t="s">
        <v>471</v>
      </c>
      <c r="L27" s="1" t="s">
        <v>439</v>
      </c>
      <c r="M27" s="1" t="s">
        <v>472</v>
      </c>
      <c r="N27" s="1" t="s">
        <v>473</v>
      </c>
      <c r="O27" s="1" t="s">
        <v>48</v>
      </c>
      <c r="P27" s="1" t="s">
        <v>474</v>
      </c>
      <c r="Q27" s="1" t="s">
        <v>50</v>
      </c>
      <c r="R27" s="1" t="s">
        <v>51</v>
      </c>
      <c r="S27" s="1" t="s">
        <v>51</v>
      </c>
      <c r="T27" s="1" t="s">
        <v>51</v>
      </c>
      <c r="U27" s="1" t="s">
        <v>475</v>
      </c>
      <c r="V27" s="1" t="s">
        <v>476</v>
      </c>
      <c r="W27" s="1" t="s">
        <v>42</v>
      </c>
      <c r="X27" s="1" t="s">
        <v>62</v>
      </c>
      <c r="Y27" s="1" t="s">
        <v>477</v>
      </c>
      <c r="Z27" s="1" t="s">
        <v>478</v>
      </c>
      <c r="AA27" s="1" t="s">
        <v>479</v>
      </c>
      <c r="AB27" s="1" t="s">
        <v>480</v>
      </c>
      <c r="AC27" s="1" t="s">
        <v>481</v>
      </c>
      <c r="AD27" s="1"/>
      <c r="AE27" s="1" t="s">
        <v>60</v>
      </c>
      <c r="AF27" s="5">
        <v>46189</v>
      </c>
      <c r="AG27" s="1" t="s">
        <v>117</v>
      </c>
      <c r="AH27" s="1" t="s">
        <v>62</v>
      </c>
      <c r="AI27" s="1" t="s">
        <v>63</v>
      </c>
      <c r="AJ27" s="1" t="str">
        <f t="shared" si="0"/>
        <v>resdac / cms research data resdac (resdac) medicare and medicaid research identifiable files and restricted data controlled/restricted public query plus restricted/purchased claims/payment/provider medicare; medicaid; chip; claims; enrollment; beneficiaries; utilization; payment; provider; prescription drugs; long-term care; research identifiable files; limited data sets; vrdc; health services research claims; medicare; medicaid; chip; beneficiaries; enrollment; utilization; payment; provider; prescription drugs; part d; fee-for-service; encounter data; rif; lds; dua; vrdc; ccw; t-msis; resdac; cms research data claims/payment medicare claims; medicaid claims; chip; enrollment; health care utilization; payment; prescription drugs; provider services; beneficiary characteristics; long-term care; health services research; policy evaluation; health equity and racial/ethnic disparities research; longitudinal beneficiary follow-up; comparative effectiveness and outcomes research medicare, medicaid, and chip beneficiaries represented in cms research files united states census block group patient medium beneficiary demographics; enrollment; eligibility; medicare claims; medicaid claims; chip claims; encounter data; diagnoses; procedures; dates of service; provider identifiers; place of service; prescription drug events; payment amounts; utilization measures; plan characteristics; beneficiary summary files; chronic conditions; mortality indicators; long-term care and assessment measures medicare and medicaid claims research; health care utilization and cost analyses; prescription drug utilization studies; chronic disease burden and spending analyses; policy evaluation; care patterns and provider analyses; disparities research; longitudinal beneficiary follow-up; comparative effectiveness and outcomes research cms medicare claims; medicaid t-msis analytic files; medicare current beneficiary survey; chronic conditions warehouse; data.cms.gov; meps; hcup / hcupnet; acs; cdc places; brfss restricted access requiring approved research purpose, application, dua, fees, and secure access processes; data are complex and require claims expertise; file availability, variables, and years vary by cms program; public-use files are aggregated restricted cms research files require a research study application, cms dua, and fees; vrdc access may involve annual seat, project, and storage/usage costs</v>
      </c>
    </row>
    <row r="28" spans="1:36" ht="209.25" customHeight="1">
      <c r="A28" s="1" t="s">
        <v>482</v>
      </c>
      <c r="B28" s="1" t="s">
        <v>483</v>
      </c>
      <c r="C28" s="1" t="s">
        <v>484</v>
      </c>
      <c r="D28" s="1" t="s">
        <v>485</v>
      </c>
      <c r="E28" s="1" t="s">
        <v>486</v>
      </c>
      <c r="F28" s="1" t="s">
        <v>224</v>
      </c>
      <c r="G28" s="1" t="s">
        <v>224</v>
      </c>
      <c r="H28" s="1" t="s">
        <v>137</v>
      </c>
      <c r="I28" s="1" t="s">
        <v>402</v>
      </c>
      <c r="J28" s="1" t="s">
        <v>487</v>
      </c>
      <c r="K28" s="1" t="s">
        <v>488</v>
      </c>
      <c r="L28" s="1" t="s">
        <v>49</v>
      </c>
      <c r="M28" s="1" t="s">
        <v>489</v>
      </c>
      <c r="N28" s="1" t="s">
        <v>490</v>
      </c>
      <c r="O28" s="1" t="s">
        <v>48</v>
      </c>
      <c r="P28" s="1" t="s">
        <v>491</v>
      </c>
      <c r="Q28" s="1" t="s">
        <v>49</v>
      </c>
      <c r="R28" s="1" t="s">
        <v>52</v>
      </c>
      <c r="S28" s="1" t="s">
        <v>51</v>
      </c>
      <c r="T28" s="1" t="s">
        <v>52</v>
      </c>
      <c r="U28" s="1" t="s">
        <v>492</v>
      </c>
      <c r="V28" s="1" t="s">
        <v>476</v>
      </c>
      <c r="W28" s="1" t="s">
        <v>62</v>
      </c>
      <c r="X28" s="1" t="s">
        <v>42</v>
      </c>
      <c r="Y28" s="1" t="s">
        <v>493</v>
      </c>
      <c r="Z28" s="1" t="s">
        <v>494</v>
      </c>
      <c r="AA28" s="1" t="s">
        <v>495</v>
      </c>
      <c r="AB28" s="1" t="s">
        <v>496</v>
      </c>
      <c r="AC28" s="1" t="s">
        <v>497</v>
      </c>
      <c r="AD28" s="1"/>
      <c r="AE28" s="1" t="s">
        <v>51</v>
      </c>
      <c r="AF28" s="5">
        <v>46189</v>
      </c>
      <c r="AG28" s="1" t="s">
        <v>117</v>
      </c>
      <c r="AH28" s="1" t="s">
        <v>62</v>
      </c>
      <c r="AI28" s="1" t="s">
        <v>63</v>
      </c>
      <c r="AJ28" s="1" t="str">
        <f t="shared" si="0"/>
        <v>healthcare.gov public use files healthcare.gov pufs (data.healthcare.gov) marketplace plan, benefits, provider, rate, and enrollment-related public-use files open/public open/public health care utilization/cost health insurance marketplace; exchange pufs; insurance plans; issuers; providers; premiums; rates; benefits; cost sharing; formularies; provider networks; service areas; enrollment assistance marketplace; exchange; health insurance; plans; issuers; premiums; rates; benefits; cost sharing; formulary; provider network; service area; county; zip; metal level; qhp; dental plans; shop; healthcare.gov other health insurance marketplace; insurance coverage; plan availability; premiums and rates; benefits and cost sharing; provider networks; formularies; service areas; enrollment assistance health insurance marketplace plans, issuers, providers, service areas, and certified enrollment assistance organizations united states zip code / county other high plan identifiers; issuer identifiers; plan type; metal level; premiums/rates; benefits; cost sharing; deductibles; maximum out-of-pocket amounts; formularies; provider network urls; service areas; state; county; zip code; plan availability; dental plans; shop market indicators; enrollment assistance organizations marketplace plan availability analyses; premium and affordability studies; insurance coverage design comparisons; provider network and formulary transparency research; state and county insurance market analyses; plan benefit and cost-sharing comparisons; enrollment assistance mapping; policy evaluation cms data; exchange pufs; marketplace pufs; acs; meps; brfss; cdc places; county health rankings plan, issuer, rate, benefit, and service area files vary by plan year and dataset; data describe marketplace plans and issuers, not individual enrollees or claims; geographic fields vary by file; verify plan year, file type, data dictionary, and update date before analysis. open/public source; no registration generally required; verify dataset-specific documentation, api/download options, citation guidance, and marketplace puf data dictionaries.</v>
      </c>
    </row>
    <row r="29" spans="1:36" ht="409.5" customHeight="1">
      <c r="A29" s="1" t="s">
        <v>498</v>
      </c>
      <c r="B29" s="1" t="s">
        <v>499</v>
      </c>
      <c r="C29" s="1" t="s">
        <v>500</v>
      </c>
      <c r="D29" s="4" t="s">
        <v>501</v>
      </c>
      <c r="E29" s="1" t="s">
        <v>502</v>
      </c>
      <c r="F29" s="1" t="s">
        <v>224</v>
      </c>
      <c r="G29" s="1" t="s">
        <v>224</v>
      </c>
      <c r="H29" s="1" t="s">
        <v>137</v>
      </c>
      <c r="I29" s="1" t="s">
        <v>49</v>
      </c>
      <c r="J29" s="1" t="s">
        <v>503</v>
      </c>
      <c r="K29" s="1" t="s">
        <v>504</v>
      </c>
      <c r="L29" s="1" t="s">
        <v>290</v>
      </c>
      <c r="M29" s="1" t="s">
        <v>505</v>
      </c>
      <c r="N29" s="1" t="s">
        <v>506</v>
      </c>
      <c r="O29" s="1" t="s">
        <v>48</v>
      </c>
      <c r="P29" s="1" t="s">
        <v>49</v>
      </c>
      <c r="Q29" s="1" t="s">
        <v>49</v>
      </c>
      <c r="R29" s="1" t="s">
        <v>129</v>
      </c>
      <c r="S29" s="1" t="s">
        <v>51</v>
      </c>
      <c r="T29" s="1" t="s">
        <v>129</v>
      </c>
      <c r="U29" s="1" t="s">
        <v>507</v>
      </c>
      <c r="V29" s="1" t="s">
        <v>95</v>
      </c>
      <c r="W29" s="1" t="s">
        <v>62</v>
      </c>
      <c r="X29" s="1" t="s">
        <v>62</v>
      </c>
      <c r="Y29" s="1" t="s">
        <v>508</v>
      </c>
      <c r="Z29" s="1" t="s">
        <v>509</v>
      </c>
      <c r="AA29" s="1" t="s">
        <v>510</v>
      </c>
      <c r="AB29" s="1" t="s">
        <v>511</v>
      </c>
      <c r="AC29" s="1" t="s">
        <v>512</v>
      </c>
      <c r="AD29" s="1"/>
      <c r="AE29" s="1" t="s">
        <v>60</v>
      </c>
      <c r="AF29" s="5">
        <v>46190</v>
      </c>
      <c r="AG29" s="1" t="s">
        <v>61</v>
      </c>
      <c r="AH29" s="1" t="s">
        <v>62</v>
      </c>
      <c r="AI29" s="1" t="s">
        <v>63</v>
      </c>
      <c r="AJ29" s="1" t="str">
        <f t="shared" si="0"/>
        <v>healthdata.gov hhs healthdata.gov (healthdata.gov) broad hhs open data catalog across agencies open/public open/public other sdoh/geospatial; health care utilization/cost; chronic disease; mental health; substance use; maternal/child health; hiv/infectious disease; environmental exposure healthdata.gov; hhs open data; u.s. department of health and human services; public health data; health indicators; healthcare utilization; health services research; population health; social determinants of health (sdoh); health disparities; community health; healthcare quality; health equity; geographic health data; federal health datasets; public health surveillance; open government data reports/dashboard sdoh/geospatial; chronic disease; maternal/child health; mental health; substance use; hiv/infectious disease; health care utilization/cost; environmental exposure u.s. public health and health data users united states other other medium population demographics; health outcomes; disease prevalence; healthcare utilization; healthcare quality measures; health insurance coverage; healthcare workforce measures; social determinants of health (sdoh); environmental health indicators; maternal and child health measures; mental health indicators; infectious disease surveillance measures; geographic identifiers public health surveillance; population health research; health disparities and health equity analyses; healthcare utilization and quality studies; social determinants of health (sdoh) research; geographic and spatial analyses; health policy evaluation; community health assessments; program monitoring and evaluation; exploratory data analysis and data discovery u.s. census american community survey (acs); cdc places; county health rankings &amp; roadmaps; ahrq sdoh database; hrsa area health resources files (ahrf); cdc/atsdr social vulnerability index (svi); cms data healthdata.gov is a data portal rather than a single standardized dataset; data quality, completeness, geographic coverage, and update frequency vary across datasets; variable definitions and methodologies differ by source agency; not all datasets are longitudinal or nationally representative; some datasets may have suppressed, aggregated, or de-identified data; users should review documentation for each dataset before analysis; comparisons across datasets may require harmonization of measures and geographic units healthdata.gov is a public data portal managed by the u.s. department of health and human services (hhs); governance, access policies, and licensing vary by dataset and source agency; most datasets are publicly available, though some may have access restrictions or data use agreements; individual-level data, when available, are typically de-identified and subject to privacy protections; users should cite the specific dataset and source agency rather than the portal alone; documentation, update schedules, and metadata should be reviewed for each dataset prior to use</v>
      </c>
    </row>
    <row r="30" spans="1:36" ht="409.5" customHeight="1">
      <c r="A30" s="1" t="s">
        <v>513</v>
      </c>
      <c r="B30" s="1" t="s">
        <v>514</v>
      </c>
      <c r="C30" s="1" t="s">
        <v>515</v>
      </c>
      <c r="D30" s="4" t="s">
        <v>516</v>
      </c>
      <c r="E30" s="1" t="s">
        <v>517</v>
      </c>
      <c r="F30" s="1" t="s">
        <v>160</v>
      </c>
      <c r="G30" s="1" t="s">
        <v>160</v>
      </c>
      <c r="H30" s="1" t="s">
        <v>62</v>
      </c>
      <c r="I30" s="1" t="s">
        <v>518</v>
      </c>
      <c r="J30" s="1" t="s">
        <v>519</v>
      </c>
      <c r="K30" s="1" t="s">
        <v>520</v>
      </c>
      <c r="L30" s="1" t="s">
        <v>72</v>
      </c>
      <c r="M30" s="1" t="s">
        <v>521</v>
      </c>
      <c r="N30" s="1" t="s">
        <v>522</v>
      </c>
      <c r="O30" s="1" t="s">
        <v>48</v>
      </c>
      <c r="P30" s="1" t="s">
        <v>523</v>
      </c>
      <c r="Q30" s="1" t="s">
        <v>75</v>
      </c>
      <c r="R30" s="1" t="s">
        <v>51</v>
      </c>
      <c r="S30" s="1" t="s">
        <v>52</v>
      </c>
      <c r="T30" s="1" t="s">
        <v>51</v>
      </c>
      <c r="U30" s="1" t="s">
        <v>524</v>
      </c>
      <c r="V30" s="1" t="s">
        <v>230</v>
      </c>
      <c r="W30" s="1" t="s">
        <v>62</v>
      </c>
      <c r="X30" s="1" t="s">
        <v>62</v>
      </c>
      <c r="Y30" s="1" t="s">
        <v>525</v>
      </c>
      <c r="Z30" s="1" t="s">
        <v>526</v>
      </c>
      <c r="AA30" s="1" t="s">
        <v>527</v>
      </c>
      <c r="AB30" s="1" t="s">
        <v>528</v>
      </c>
      <c r="AC30" s="1" t="s">
        <v>529</v>
      </c>
      <c r="AD30" s="1"/>
      <c r="AE30" s="1" t="s">
        <v>52</v>
      </c>
      <c r="AF30" s="5">
        <v>46190</v>
      </c>
      <c r="AG30" s="1" t="s">
        <v>61</v>
      </c>
      <c r="AH30" s="1" t="s">
        <v>62</v>
      </c>
      <c r="AI30" s="1" t="s">
        <v>63</v>
      </c>
      <c r="AJ30" s="1" t="str">
        <f t="shared" si="0"/>
        <v>samhsa nsduh nsduh data tools (samhsa) substance use, mental health, treatment, tobacco, alcohol, drug use public-use plus restricted files public-use plus restricted files substance use alcohol; opioid; tobacco; treatment; mental health; sdoh/geospatial; chronic disease; health care utilization/cost; maternal/child health samhsa nsduh; national survey on drug use and health; substance use; substance use disorder; drug use; alcohol use; tobacco use; nicotine use; vaping; mental health; depression; serious mental illness; behavioral health; substance use treatment; treatment utilization; prevention; youth health; population health survey; public health surveillance; health disparities survey substance use; mental health; health care utilization/cost; maternal/child health; sdoh/geospatial; health disparities; behavioral health civilian, noninstitutionalized population of the united states aged 12 years and older. united states national; state individual medium alcohol use; tobacco/nicotine use; vaping/e-cigarette use; illicit drug use; prescription drug misuse; substance use disorder (sud); mental illness; major depressive episode; serious psychological distress; suicidal thoughts and behaviors; substance use treatment utilization; perceived treatment need; demographics; health insurance coverage substance use epidemiology; mental health research; behavioral health surveillance; substance use disorder (sud) prevalence estimation; treatment access and utilization studies; health disparities research; youth and adolescent health studies; policy evaluation; population health surveillance; trend analyses of substance use and mental health outcomes nhis; brfss; cdc places; samhsa teds; samhsa mh-cld; u.s. census american community survey (acs); county health rankings &amp; roadmaps self-reported data may be subject to recall and social desirability bias; cross-sectional design limits causal inference; excludes some populations (e.g., unsheltered homeless individuals, active-duty military); limited geographic detail in public-use files; changes in survey methods and questionnaire wording may affect trend analyses; rare behaviors or small subpopulations may have unstable estimates; survey weights must be used for nationally representative estimates publicly available survey data sponsored by the substance abuse and mental health services administration (samhsa); individual-level public-use files are de-identified and subject to confidentiality protections; restricted-use data with finer geographic detail require additional approvals and data use agreements; survey weights and complex sampling design should be incorporated into analyses; users should cite nsduh and samhsa in publications; questionnaire content and methodology may change across survey years and should be documented for longitudinal comparisons</v>
      </c>
    </row>
    <row r="31" spans="1:36" ht="409.5" customHeight="1">
      <c r="A31" s="1" t="s">
        <v>530</v>
      </c>
      <c r="B31" s="1" t="s">
        <v>531</v>
      </c>
      <c r="C31" s="1" t="s">
        <v>532</v>
      </c>
      <c r="D31" s="4" t="s">
        <v>533</v>
      </c>
      <c r="E31" s="1" t="s">
        <v>534</v>
      </c>
      <c r="F31" s="1" t="s">
        <v>224</v>
      </c>
      <c r="G31" s="1" t="s">
        <v>224</v>
      </c>
      <c r="H31" s="1" t="s">
        <v>137</v>
      </c>
      <c r="I31" s="1" t="s">
        <v>518</v>
      </c>
      <c r="J31" s="1" t="s">
        <v>535</v>
      </c>
      <c r="K31" s="1" t="s">
        <v>536</v>
      </c>
      <c r="L31" s="1" t="s">
        <v>92</v>
      </c>
      <c r="M31" s="1" t="s">
        <v>537</v>
      </c>
      <c r="N31" s="1" t="s">
        <v>538</v>
      </c>
      <c r="O31" s="1" t="s">
        <v>48</v>
      </c>
      <c r="P31" s="1" t="s">
        <v>259</v>
      </c>
      <c r="Q31" s="1" t="s">
        <v>75</v>
      </c>
      <c r="R31" s="1" t="s">
        <v>51</v>
      </c>
      <c r="S31" s="1" t="s">
        <v>51</v>
      </c>
      <c r="T31" s="1" t="s">
        <v>52</v>
      </c>
      <c r="U31" s="1" t="s">
        <v>166</v>
      </c>
      <c r="V31" s="1" t="s">
        <v>95</v>
      </c>
      <c r="W31" s="1" t="s">
        <v>62</v>
      </c>
      <c r="X31" s="1" t="s">
        <v>62</v>
      </c>
      <c r="Y31" s="1" t="s">
        <v>539</v>
      </c>
      <c r="Z31" s="1" t="s">
        <v>540</v>
      </c>
      <c r="AA31" s="1" t="s">
        <v>541</v>
      </c>
      <c r="AB31" s="1" t="s">
        <v>542</v>
      </c>
      <c r="AC31" s="1" t="s">
        <v>543</v>
      </c>
      <c r="AD31" s="1"/>
      <c r="AE31" s="1" t="s">
        <v>52</v>
      </c>
      <c r="AF31" s="5">
        <v>46190</v>
      </c>
      <c r="AG31" s="1" t="s">
        <v>61</v>
      </c>
      <c r="AH31" s="1" t="s">
        <v>62</v>
      </c>
      <c r="AI31" s="1" t="s">
        <v>63</v>
      </c>
      <c r="AJ31" s="1" t="str">
        <f t="shared" si="0"/>
        <v>samhsa teds teds data files (samhsa) substance use treatment admissions and discharges open/public open/public substance use mental health; health care utilization/cost; sdoh/geospatial; maternal/child health samhsa teds; treatment episode data set; substance use treatment; substance use disorder (sud); addiction treatment; treatment admissions; treatment discharges; behavioral health services; alcohol use disorder; drug use disorder; opioid use disorder; mental health; treatment utilization; recovery services; public health surveillance; healthcare access; health disparities; substance abuse treatment facilities registry/surveillance substance use; mental health; health care utilization/cost; behavioral health; health disparities; treatment services; recovery and treatment outcomes individuals aged 12 and older admitted to substance use treatment facilities united states state individual medium demographic, clinical and substance use characteristics of persons admitted to treatment and type service at discharge, length of stay, and reason for discharge or discontinuation of services substance use treatment utilization research; treatment access and capacity analyses; substance use disorder (sud) surveillance; opioid epidemic monitoring; behavioral health services research; health disparities in treatment access; program evaluation; state-level policy evaluation; treatment outcome and discharge analyses; trends in substance use treatment admissions over time samhsa nsduh; samhsa mh-cld; u.s. census american community survey (acs); county health rankings &amp; roadmaps; cdc places records represent treatment episodes rather than unique individuals; multiple admissions for the same person may be counted separately; coverage is primarily facilities receiving public funding and may not capture all treatment providers; variable reporting practices may differ across states; limited clinical detail compared with ehr data; restricted geographic detail in public-use files; not suitable for person-level longitudinal analyses; changes in reporting requirements over time may affect trend analyses publicly available dataset maintained by samhsa; data are collected from state substance use treatment systems and participating treatment facilities; public-use files are de-identified and subject to confidentiality protections; individual identifiers are not available, limiting linkage across admissions; data quality and completeness may vary by state and reporting practices; users should cite samhsa teds in publications and reports; documentation should be reviewed for changes in reporting requirements, variable definitions, and data collection methods across years</v>
      </c>
    </row>
    <row r="32" spans="1:36" ht="409.5" customHeight="1">
      <c r="A32" s="1" t="s">
        <v>544</v>
      </c>
      <c r="B32" s="1" t="s">
        <v>545</v>
      </c>
      <c r="C32" s="1" t="s">
        <v>546</v>
      </c>
      <c r="D32" s="4" t="s">
        <v>547</v>
      </c>
      <c r="E32" s="1" t="s">
        <v>548</v>
      </c>
      <c r="F32" s="1" t="s">
        <v>224</v>
      </c>
      <c r="G32" s="1" t="s">
        <v>224</v>
      </c>
      <c r="H32" s="1" t="s">
        <v>137</v>
      </c>
      <c r="I32" s="1" t="s">
        <v>549</v>
      </c>
      <c r="J32" s="1" t="s">
        <v>550</v>
      </c>
      <c r="K32" s="1" t="s">
        <v>551</v>
      </c>
      <c r="L32" s="1" t="s">
        <v>92</v>
      </c>
      <c r="M32" s="1" t="s">
        <v>552</v>
      </c>
      <c r="N32" s="1" t="s">
        <v>553</v>
      </c>
      <c r="O32" s="1" t="s">
        <v>48</v>
      </c>
      <c r="P32" s="1" t="s">
        <v>523</v>
      </c>
      <c r="Q32" s="1" t="s">
        <v>50</v>
      </c>
      <c r="R32" s="1" t="s">
        <v>51</v>
      </c>
      <c r="S32" s="1" t="s">
        <v>51</v>
      </c>
      <c r="T32" s="1" t="s">
        <v>52</v>
      </c>
      <c r="U32" s="1" t="s">
        <v>554</v>
      </c>
      <c r="V32" s="1" t="s">
        <v>95</v>
      </c>
      <c r="W32" s="1" t="s">
        <v>62</v>
      </c>
      <c r="X32" s="1" t="s">
        <v>62</v>
      </c>
      <c r="Y32" s="1" t="s">
        <v>555</v>
      </c>
      <c r="Z32" s="1" t="s">
        <v>556</v>
      </c>
      <c r="AA32" s="1" t="s">
        <v>557</v>
      </c>
      <c r="AB32" s="1" t="s">
        <v>558</v>
      </c>
      <c r="AC32" s="1" t="s">
        <v>559</v>
      </c>
      <c r="AD32" s="1"/>
      <c r="AE32" s="1" t="s">
        <v>52</v>
      </c>
      <c r="AF32" s="5">
        <v>46190</v>
      </c>
      <c r="AG32" s="1" t="s">
        <v>61</v>
      </c>
      <c r="AH32" s="1" t="s">
        <v>62</v>
      </c>
      <c r="AI32" s="1" t="s">
        <v>63</v>
      </c>
      <c r="AJ32" s="1" t="str">
        <f t="shared" si="0"/>
        <v>samhsa mh-cld mh-cld data files (samhsa) mental health treatment client-level public-use data open/public open/public mental health health care utilization/cost; substance use; sdoh/geospatial; maternal/child health samhsa mh-cld; mental health client-level data; mental health services; behavioral health; serious mental illness; mental health treatment; community mental health services; service utilization; mental health outcomes; public mental health system; behavioral health surveillance; treatment access; health disparities; recovery services; client characteristics; mental health program evaluation; public mental health data registry/surveillance mental health; health care utilization/cost; behavioral health; substance use; health disparities; mental health services; treatment outcomes and recovery all child and adult clients who received mental health or support services from programs operated or funded by state mental health agencies (smhas) united states national; state patient medium mental health diagnosis; serious mental illness (smi) status; mental health service utilization; treatment setting; service type; demographics (age, sex, race/ethnicity); living situation; employment status; education level; insurance coverage; substance use involvement; referral source; treatment outcomes; functional status; criminal justice involvement mental health services research; behavioral health surveillance; mental health treatment utilization analyses; access to care studies; health disparities and equity research; program evaluation; service system performance monitoring; co-occurring mental health and substance use research; population mental health assessments; state-level policy evaluation samhsa nsduh; samhsa teds; u.s. census american community survey (acs); county health rankings &amp; roadmaps; cdc places limited to publicly funded mental health service systems and may not capture all mental health care; reporting practices and data completeness vary across states; public-use files contain restricted geographic detail; limited ability to track individuals over time; changes in reporting requirements and variable definitions may affect longitudinal comparisons; clinical detail is less comprehensive than ehr data; missing data may occur for some variables and jurisdictions publicly available dataset maintained by samhsa; data are reported by state mental health agencies and publicly funded mental health service systems; public-use files are de-identified and subject to confidentiality protections; individual identifiers are removed, limiting linkage and longitudinal tracking; data quality and completeness may vary by state and reporting practices; users should cite samhsa mh-cld in publications and reports; documentation should be reviewed for changes in variable definitions, reporting requirements, and data collection methods across years</v>
      </c>
    </row>
    <row r="33" spans="1:36" ht="409.5" customHeight="1">
      <c r="A33" s="1" t="s">
        <v>560</v>
      </c>
      <c r="B33" s="1" t="s">
        <v>561</v>
      </c>
      <c r="C33" s="1" t="s">
        <v>562</v>
      </c>
      <c r="D33" s="4" t="s">
        <v>563</v>
      </c>
      <c r="E33" s="1" t="s">
        <v>564</v>
      </c>
      <c r="F33" s="1" t="s">
        <v>224</v>
      </c>
      <c r="G33" s="1" t="s">
        <v>224</v>
      </c>
      <c r="H33" s="1" t="s">
        <v>137</v>
      </c>
      <c r="I33" s="1" t="s">
        <v>549</v>
      </c>
      <c r="J33" s="1" t="s">
        <v>565</v>
      </c>
      <c r="K33" s="1" t="s">
        <v>566</v>
      </c>
      <c r="L33" s="1" t="s">
        <v>290</v>
      </c>
      <c r="M33" s="1" t="s">
        <v>567</v>
      </c>
      <c r="N33" s="1" t="s">
        <v>568</v>
      </c>
      <c r="O33" s="1" t="s">
        <v>48</v>
      </c>
      <c r="P33" s="1" t="s">
        <v>49</v>
      </c>
      <c r="Q33" s="1" t="s">
        <v>294</v>
      </c>
      <c r="R33" s="1" t="s">
        <v>52</v>
      </c>
      <c r="S33" s="1" t="s">
        <v>51</v>
      </c>
      <c r="T33" s="1" t="s">
        <v>51</v>
      </c>
      <c r="U33" s="1" t="s">
        <v>569</v>
      </c>
      <c r="V33" s="1" t="s">
        <v>95</v>
      </c>
      <c r="W33" s="1" t="s">
        <v>62</v>
      </c>
      <c r="X33" s="1" t="s">
        <v>62</v>
      </c>
      <c r="Y33" s="1" t="s">
        <v>570</v>
      </c>
      <c r="Z33" s="1" t="s">
        <v>571</v>
      </c>
      <c r="AA33" s="1" t="s">
        <v>572</v>
      </c>
      <c r="AB33" s="1" t="s">
        <v>573</v>
      </c>
      <c r="AC33" s="1" t="s">
        <v>574</v>
      </c>
      <c r="AD33" s="1"/>
      <c r="AE33" s="1" t="s">
        <v>52</v>
      </c>
      <c r="AF33" s="5">
        <v>46190</v>
      </c>
      <c r="AG33" s="1" t="s">
        <v>61</v>
      </c>
      <c r="AH33" s="1" t="s">
        <v>62</v>
      </c>
      <c r="AI33" s="1" t="s">
        <v>63</v>
      </c>
      <c r="AJ33" s="1" t="str">
        <f t="shared" si="0"/>
        <v>samhsa data tools samhsa data tools (datatools.samhsa.gov) online analysis for nsduh, teds, mental health and substance use datasets open/public open/public mental health substance use; health care utilization/cost; sdoh/geospatial; maternal/child health samhsa data tools; behavioral health data; mental health; substance use; substance use disorder (sud); behavioral health surveillance; treatment services; mental health services; prevention; recovery services; public health dashboards; health disparities; community behavioral health; treatment utilization; behavioral health indicators; population health; public health data tools reports/dashboard mental health; substance use; behavioral health; health care utilization/cost; health disparities; prevention and recovery services; community mental health u.s. population; individuals receiving mental health or substance use services; adolescents and adults; behavioral health populations united states other report/dashboard medium mental health indicators; substance use prevalence; substance use treatment utilization; mental health service utilization; behavioral health outcomes; demographics; geographic indicators; treatment access measures; prevention and recovery indicators; health disparities measures; behavioral health workforce and facility measures behavioral health surveillance; mental health and substance use trend analyses; community needs assessments; health disparities and equity research; program planning and evaluation; treatment access and utilization studies; geographic variation analyses; policy evaluation; public health reporting and dashboarding; behavioral health resource allocation samhsa nsduh; samhsa teds; samhsa mh-cld; u.s. census american community survey (acs); county health rankings &amp; roadmaps samhsa data tools is a portal rather than a single dataset; data sources, methodologies, and geographic coverage vary across tools; many tools provide aggregated estimates rather than raw data; variable definitions may differ across datasets; some indicators are subject to suppression or small-sample limitations; comparisons across tools may require harmonization; update schedules and historical coverage vary by data source publicly available portal maintained by samhsa; aggregates data from multiple samhsa and partner data systems; governance, documentation, and data quality standards vary by underlying dataset; most tools provide aggregated, de-identified data and summary statistics; access restrictions, data use agreements, and confidentiality protections depend on the source dataset; users should cite the specific samhsa tool and underlying data source when applicable; metadata and methodology documentation should be reviewed for each tool before analysis</v>
      </c>
    </row>
    <row r="34" spans="1:36" ht="409.5" customHeight="1">
      <c r="A34" s="1" t="s">
        <v>575</v>
      </c>
      <c r="B34" s="1" t="s">
        <v>576</v>
      </c>
      <c r="C34" s="1" t="s">
        <v>577</v>
      </c>
      <c r="D34" s="4" t="s">
        <v>578</v>
      </c>
      <c r="E34" s="1" t="s">
        <v>579</v>
      </c>
      <c r="F34" s="1" t="s">
        <v>224</v>
      </c>
      <c r="G34" s="1" t="s">
        <v>224</v>
      </c>
      <c r="H34" s="1" t="s">
        <v>137</v>
      </c>
      <c r="I34" s="1" t="s">
        <v>580</v>
      </c>
      <c r="J34" s="1" t="s">
        <v>581</v>
      </c>
      <c r="K34" s="1" t="s">
        <v>582</v>
      </c>
      <c r="L34" s="1" t="s">
        <v>290</v>
      </c>
      <c r="M34" s="1" t="s">
        <v>583</v>
      </c>
      <c r="N34" s="1" t="s">
        <v>584</v>
      </c>
      <c r="O34" s="1" t="s">
        <v>48</v>
      </c>
      <c r="P34" s="1" t="s">
        <v>293</v>
      </c>
      <c r="Q34" s="1" t="s">
        <v>293</v>
      </c>
      <c r="R34" s="1" t="s">
        <v>52</v>
      </c>
      <c r="S34" s="1" t="s">
        <v>51</v>
      </c>
      <c r="T34" s="1" t="s">
        <v>51</v>
      </c>
      <c r="U34" s="1" t="s">
        <v>585</v>
      </c>
      <c r="V34" s="1" t="s">
        <v>95</v>
      </c>
      <c r="W34" s="1" t="s">
        <v>62</v>
      </c>
      <c r="X34" s="1" t="s">
        <v>42</v>
      </c>
      <c r="Y34" s="1" t="s">
        <v>586</v>
      </c>
      <c r="Z34" s="1" t="s">
        <v>587</v>
      </c>
      <c r="AA34" s="1" t="s">
        <v>588</v>
      </c>
      <c r="AB34" s="1" t="s">
        <v>589</v>
      </c>
      <c r="AC34" s="1" t="s">
        <v>590</v>
      </c>
      <c r="AD34" s="1"/>
      <c r="AE34" s="1" t="s">
        <v>60</v>
      </c>
      <c r="AF34" s="5">
        <v>46190</v>
      </c>
      <c r="AG34" s="1" t="s">
        <v>61</v>
      </c>
      <c r="AH34" s="1" t="s">
        <v>62</v>
      </c>
      <c r="AI34" s="1" t="s">
        <v>63</v>
      </c>
      <c r="AJ34" s="1" t="str">
        <f t="shared" ref="AJ34:AJ63" si="1">LOWER(_xlfn.SINGLE(_xlfn.TEXTJOIN(" ", TRUE, B34, C34, E34, F34, G34, I34, J34, K34, L34, M34, N34, O34, P34, Q34, X34, Y34, Z34, AA34, AB34, AC34, AD34)))</f>
        <v>cdc atlasplus nchhstp atlasplus (cdc) hiv, viral hepatitis, std, tb, and selected social determinants data open/public open/public hiv/infectious disease substance use; sdoh/geospatial; mental health; maternal/child health cdc atlasplus; atlasplus; hiv surveillance; hiv/aids; sexually transmitted infections (stis); sexually transmitted diseases (stds); viral hepatitis; tuberculosis; infectious disease surveillance; hiv prevalence; hiv incidence; hiv testing; hiv care continuum; epidemiology; public health surveillance; health disparities; geographic variation; county-level health data; hiv prevention; infectious disease trends reports/dashboard hiv/infectious disease; substance use; sdoh/geospatial; mental health; maternal/child health u.s. populations affected by hiv, stis, viral hepatitis, tb, and related sdoh indicators united states county county high hiv diagnoses; hiv prevalence; hiv incidence; hiv care continuum measures (linkage to care, retention in care, viral suppression); sexually transmitted infection (sti) rates; viral hepatitis cases and rates; tuberculosis cases and rates; testing measures; mortality measures; demographics (age, sex, race/ethnicity); geographic indicators; population-based rates hiv and infectious disease surveillance; epidemiologic trend analyses; hiv care continuum research; health disparities and equity studies; geographic hotspot identification; public health program planning and evaluation; hiv prevention research; sti, viral hepatitis, and tuberculosis monitoring; resource allocation and needs assessment; spatial epidemiology and mapping aidsvu; u.s. census american community survey (acs); cdc/atsdr social vulnerability index (svi); cdc places aggregated surveillance data only; no individual-level records available; data may be suppressed for small populations or geographic areas to protect confidentiality; reporting delays and revisions can affect recent-year estimates; case definitions and surveillance practices may change over time; geographic availability varies by disease and indicator; ecological analyses may be subject to ecological fallacy and cannot infer individual-level risk publicly available dashboard maintained by the cdc; data are derived from cdc surveillance systems for hiv, stis, viral hepatitis, and tuberculosis; only aggregated, de-identified data are provided, with suppression rules applied to protect confidentiality; users should cite cdc atlasplus and the underlying surveillance program when appropriate; data are subject to periodic updates, revisions, and changes in case definitions; metadata and methodology documentation should be reviewed before conducting trend or cross-jurisdiction comparisons</v>
      </c>
    </row>
    <row r="35" spans="1:36" ht="409.5" customHeight="1">
      <c r="A35" s="1" t="s">
        <v>591</v>
      </c>
      <c r="B35" s="1" t="s">
        <v>592</v>
      </c>
      <c r="C35" s="1" t="s">
        <v>593</v>
      </c>
      <c r="D35" s="4" t="s">
        <v>594</v>
      </c>
      <c r="E35" s="1" t="s">
        <v>595</v>
      </c>
      <c r="F35" s="1" t="s">
        <v>224</v>
      </c>
      <c r="G35" s="1" t="s">
        <v>224</v>
      </c>
      <c r="H35" s="1" t="s">
        <v>137</v>
      </c>
      <c r="I35" s="1" t="s">
        <v>580</v>
      </c>
      <c r="J35" s="1" t="s">
        <v>596</v>
      </c>
      <c r="K35" s="1" t="s">
        <v>597</v>
      </c>
      <c r="L35" s="1" t="s">
        <v>290</v>
      </c>
      <c r="M35" s="1" t="s">
        <v>598</v>
      </c>
      <c r="N35" s="1" t="s">
        <v>599</v>
      </c>
      <c r="O35" s="1" t="s">
        <v>48</v>
      </c>
      <c r="P35" s="1" t="s">
        <v>293</v>
      </c>
      <c r="Q35" s="1" t="s">
        <v>600</v>
      </c>
      <c r="R35" s="1" t="s">
        <v>52</v>
      </c>
      <c r="S35" s="1" t="s">
        <v>51</v>
      </c>
      <c r="T35" s="1" t="s">
        <v>51</v>
      </c>
      <c r="U35" s="1" t="s">
        <v>601</v>
      </c>
      <c r="V35" s="1" t="s">
        <v>95</v>
      </c>
      <c r="W35" s="1" t="s">
        <v>62</v>
      </c>
      <c r="X35" s="1" t="s">
        <v>42</v>
      </c>
      <c r="Y35" s="1" t="s">
        <v>602</v>
      </c>
      <c r="Z35" s="1" t="s">
        <v>603</v>
      </c>
      <c r="AA35" s="1" t="s">
        <v>604</v>
      </c>
      <c r="AB35" s="1" t="s">
        <v>605</v>
      </c>
      <c r="AC35" s="1" t="s">
        <v>606</v>
      </c>
      <c r="AD35" s="1"/>
      <c r="AE35" s="1" t="s">
        <v>60</v>
      </c>
      <c r="AF35" s="5">
        <v>46190</v>
      </c>
      <c r="AG35" s="1" t="s">
        <v>61</v>
      </c>
      <c r="AH35" s="1" t="s">
        <v>62</v>
      </c>
      <c r="AI35" s="1" t="s">
        <v>63</v>
      </c>
      <c r="AJ35" s="1" t="str">
        <f t="shared" si="1"/>
        <v>aidsvu aidsvu (aidsvu) u.s. hiv prevalence, diagnosis, prep, care-related maps and local indicators open/public open/public hiv/infectious disease sdoh/geospatial; health care utilization/cost; substance use; mental health aidsvu; hiv surveillance; hiv epidemiology; hiv prevalence; hiv incidence; hiv care continuum; hiv testing; hiv prevention; hiv treatment; viral suppression; prep; hiv disparities; hiv outcomes; geographic mapping; spatial epidemiology; public health surveillance; hiv hotspots; social determinants of health (sdoh); health equity; hiv care access reports/dashboard hiv/infectious disease; sdoh/geospatial; health disparities; hiv prevention; hiv care continuum; health care utilization/cost; spatial epidemiology people living with hiv, new hiv diagnoses, prep users, and hiv care populations in the u.s. united states county zip/zcta high hiv prevalence; hiv diagnoses; hiv incidence; hiv care continuum measures (linkage to care, retention in care, viral suppression); hiv mortality; hiv testing rates; prep utilization; demographics (age, sex, race/ethnicity); geographic indicators; population-based rates; social determinants of health (sdoh) measures; hiv disparities indicators hiv epidemiology research; hiv care continuum analyses; prep access and utilization studies; hiv prevention planning; health disparities and equity research; geographic hotspot identification; spatial epidemiology and mapping; community needs assessments; public health program evaluation; resource allocation and service planning cdc atlasplus; u.s. census american community survey (acs); cdc/atsdr social vulnerability index (svi); ahrq sdoh database aggregated geographic data only; no individual-level records available; data suppression may occur in small geographic areas to protect confidentiality; geographic coverage and variable availability vary by indicator and year; reporting delays may affect recent estimates; measures are derived from multiple data sources with differing methodologies; ecological analyses cannot infer individual-level risk (ecological fallacy); zip code–level estimates may be unstable in areas with small populations publicly available platform maintained by emory university in collaboration with cdc and other partners; data are derived from cdc hiv surveillance systems and other public sources; only aggregated, de-identified data are provided, with suppression rules applied to protect confidentiality; geographic data may be restricted or suppressed in areas with small case counts; users should cite aidsvu and the underlying data source(s) when appropriate; methodology, indicator definitions, and data availability may vary by measure and year and should be reviewed prior to analysis</v>
      </c>
    </row>
    <row r="36" spans="1:36" ht="280.5" customHeight="1">
      <c r="A36" s="1" t="s">
        <v>607</v>
      </c>
      <c r="B36" s="1" t="s">
        <v>608</v>
      </c>
      <c r="C36" s="1" t="s">
        <v>609</v>
      </c>
      <c r="D36" s="1" t="s">
        <v>610</v>
      </c>
      <c r="E36" s="1" t="s">
        <v>611</v>
      </c>
      <c r="F36" s="1" t="s">
        <v>224</v>
      </c>
      <c r="G36" s="1" t="s">
        <v>224</v>
      </c>
      <c r="H36" s="1" t="s">
        <v>137</v>
      </c>
      <c r="I36" s="1" t="s">
        <v>580</v>
      </c>
      <c r="J36" s="1" t="s">
        <v>612</v>
      </c>
      <c r="K36" s="1" t="s">
        <v>613</v>
      </c>
      <c r="L36" s="1" t="s">
        <v>290</v>
      </c>
      <c r="M36" s="1" t="s">
        <v>614</v>
      </c>
      <c r="N36" s="1" t="s">
        <v>615</v>
      </c>
      <c r="O36" s="1" t="s">
        <v>48</v>
      </c>
      <c r="P36" s="1" t="s">
        <v>616</v>
      </c>
      <c r="Q36" s="1" t="s">
        <v>293</v>
      </c>
      <c r="R36" s="1" t="s">
        <v>52</v>
      </c>
      <c r="S36" s="1" t="s">
        <v>51</v>
      </c>
      <c r="T36" s="1" t="s">
        <v>51</v>
      </c>
      <c r="U36" s="1" t="s">
        <v>617</v>
      </c>
      <c r="V36" s="1" t="s">
        <v>618</v>
      </c>
      <c r="W36" s="1" t="s">
        <v>62</v>
      </c>
      <c r="X36" s="1" t="s">
        <v>42</v>
      </c>
      <c r="Y36" s="1" t="s">
        <v>619</v>
      </c>
      <c r="Z36" s="1" t="s">
        <v>620</v>
      </c>
      <c r="AA36" s="1" t="s">
        <v>621</v>
      </c>
      <c r="AB36" s="1" t="s">
        <v>622</v>
      </c>
      <c r="AC36" s="1" t="s">
        <v>623</v>
      </c>
      <c r="AD36" s="1"/>
      <c r="AE36" s="1" t="s">
        <v>51</v>
      </c>
      <c r="AF36" s="5">
        <v>46190</v>
      </c>
      <c r="AG36" s="1" t="s">
        <v>117</v>
      </c>
      <c r="AH36" s="1" t="s">
        <v>62</v>
      </c>
      <c r="AI36" s="1" t="s">
        <v>63</v>
      </c>
      <c r="AJ36" s="1" t="str">
        <f t="shared" si="1"/>
        <v>ahead hiv dashboard hiv.gov ahead (hiv.gov) ending the hiv epidemic indicators for priority jurisdictions, states, and u.s. open/public open/public hiv/infectious disease hiv; ending the hiv epidemic; ehe; public health surveillance; hiv diagnoses; hiv incidence; linkage to care; viral suppression; prep; sdoh; health disparities; dashboard hiv; ehe; ending the hiv epidemic; diagnoses; incidence; prep; linkage to care; viral suppression; knowledge of status; health disparities; sdoh; poverty; uninsured; housing burden; hiv stigma; county; state; priority jurisdictions; dashboard reports/dashboard hiv surveillance; hiv prevention; hiv care continuum; prep coverage; viral suppression; linkage to hiv care; sdoh; health disparities; ending the hiv epidemic priority jurisdictions u.s. populations affected by hiv, including people with diagnosed hiv, people newly diagnosed with hiv, and people eligible for hiv prevention services united states county/zip code county high hiv incidence; knowledge of hiv status; hiv diagnoses; linkage to hiv medical care; viral suppression; prep coverage; poverty; unemployment; uninsured status; education; median income; housing burden; housing instability/homelessness; hiv stigma; age; race/ethnicity; sex at birth; transmission category; state; county/jurisdiction; year/quarter hiv surveillance; ending the hiv epidemic progress monitoring; hiv prevention planning; prep coverage analyses; linkage-to-care and viral suppression tracking; hiv disparities research; sdoh context for hiv outcomes; state and county hiv trend visualization cdc atlasplus; aidsvu; cdc wonder; brfss; acs; cdc/atsdr svi; county health rankings; sc dph dashboard source rather than individual-level microdata; geographic coverage is strongest for ehe priority jurisdictions, states, and national summaries; indicators, denominators, and update timing vary; suppression or instability may affect smaller jurisdictions; use source documentation before comparing across places or time. open/public dashboard; no registration required; verify indicator definitions, data methods, update date, geography level, suppression rules, and citation guidance before analysis.</v>
      </c>
    </row>
    <row r="37" spans="1:36" ht="409.5" customHeight="1">
      <c r="A37" s="1" t="s">
        <v>624</v>
      </c>
      <c r="B37" s="1" t="s">
        <v>625</v>
      </c>
      <c r="C37" s="1" t="s">
        <v>626</v>
      </c>
      <c r="D37" s="4" t="s">
        <v>627</v>
      </c>
      <c r="E37" s="1" t="s">
        <v>628</v>
      </c>
      <c r="F37" s="1" t="s">
        <v>455</v>
      </c>
      <c r="G37" s="1" t="s">
        <v>455</v>
      </c>
      <c r="H37" s="1" t="s">
        <v>62</v>
      </c>
      <c r="I37" s="1" t="s">
        <v>89</v>
      </c>
      <c r="J37" s="1" t="s">
        <v>629</v>
      </c>
      <c r="K37" s="1" t="s">
        <v>630</v>
      </c>
      <c r="L37" s="1" t="s">
        <v>192</v>
      </c>
      <c r="M37" s="1" t="s">
        <v>631</v>
      </c>
      <c r="N37" s="1" t="s">
        <v>632</v>
      </c>
      <c r="O37" s="1" t="s">
        <v>48</v>
      </c>
      <c r="P37" s="1" t="s">
        <v>49</v>
      </c>
      <c r="Q37" s="1" t="s">
        <v>50</v>
      </c>
      <c r="R37" s="1" t="s">
        <v>51</v>
      </c>
      <c r="S37" s="1" t="s">
        <v>52</v>
      </c>
      <c r="T37" s="1" t="s">
        <v>129</v>
      </c>
      <c r="U37" s="1" t="s">
        <v>633</v>
      </c>
      <c r="V37" s="1" t="s">
        <v>507</v>
      </c>
      <c r="W37" s="1" t="s">
        <v>62</v>
      </c>
      <c r="X37" s="1" t="s">
        <v>62</v>
      </c>
      <c r="Y37" s="1" t="s">
        <v>634</v>
      </c>
      <c r="Z37" s="1" t="s">
        <v>635</v>
      </c>
      <c r="AA37" s="1" t="s">
        <v>636</v>
      </c>
      <c r="AB37" s="1" t="s">
        <v>637</v>
      </c>
      <c r="AC37" s="1" t="s">
        <v>638</v>
      </c>
      <c r="AD37" s="1"/>
      <c r="AE37" s="1" t="s">
        <v>60</v>
      </c>
      <c r="AF37" s="5">
        <v>46191</v>
      </c>
      <c r="AG37" s="1" t="s">
        <v>61</v>
      </c>
      <c r="AH37" s="1" t="s">
        <v>62</v>
      </c>
      <c r="AI37" s="1" t="s">
        <v>63</v>
      </c>
      <c r="AJ37" s="1" t="str">
        <f t="shared" si="1"/>
        <v>nci genomic data commons / tcga gdc data portal (gdc portal) cancer genomics, clinical, biospecimen, molecular data including tcga and cptac open plus controlled data open plus controlled data cancer genomics/molecular; clinical trials; imaging nci genomic data commons (gdc); tcga; the cancer genome atlas; cancer genomics; tumor genomics; genomic sequencing; somatic mutations; gene expression; rna sequencing; dna methylation; copy number variation; molecular profiling; cancer biomarkers; precision oncology; cancer biology; multi-omics; tumor microenvironment; clinical annotations; cancer outcomes; translational cancer research genomics/molecular cancer; genomics/molecular; precision oncology; cancer biology; biomarker discovery; translational research; multi-omics individuals with cancer whose clinical, genomic, biospecimen, and related research data have been contributed through nci-funded and partner cancer research projects united states other patient medium somatic mutations; gene expression (rna-seq); dna methylation; copy number variation; mirna expression; protein expression; tumor subtype; cancer stage and grade; survival outcomes; treatment information; demographics (age, sex, race/ethnicity); biospecimen characteristics; molecular biomarkers; genomic alteration burden cancer genomics research; biomarker discovery; precision oncology; molecular subtype characterization; survival and prognostic modeling; multi-omics integration; drug target identification; tumor biology research; translational cancer research; machine learning and predictive modeling in oncology the cancer imaging archive (tcia); seer program; dbgap; ncbi geo not population-representative; primarily treatment-naïve tumor samples from selected cancer types; sample sizes vary substantially across cancers; limited racial, ethnic, and geographic diversity relative to the general population; clinical data may be incomplete or inconsistently available across projects; longitudinal follow-up is limited; batch effects and platform differences may require normalization; findings may not generalize to contemporary treatment populations or real-world clinical settings managed by the national cancer institute (nci) genomic data commons (gdc); contains both open-access and controlled-access data; controlled-access genomic and clinical data require dbgap authorization and adherence to nih data use policies; data use is governed by participant consent restrictions and nih genomic data sharing (gds) policies; users must comply with data security and privacy requirements for controlled data; proper citation of gdc/tcga and associated publications is required; data provenance, processing pipelines, and versioning should be documented for reproducible analyses</v>
      </c>
    </row>
    <row r="38" spans="1:36" ht="409.5" customHeight="1">
      <c r="A38" s="1" t="s">
        <v>639</v>
      </c>
      <c r="B38" s="1" t="s">
        <v>640</v>
      </c>
      <c r="C38" s="1" t="s">
        <v>641</v>
      </c>
      <c r="D38" s="4" t="s">
        <v>642</v>
      </c>
      <c r="E38" s="1" t="s">
        <v>643</v>
      </c>
      <c r="F38" s="1" t="s">
        <v>224</v>
      </c>
      <c r="G38" s="1" t="s">
        <v>224</v>
      </c>
      <c r="H38" s="1" t="s">
        <v>137</v>
      </c>
      <c r="I38" s="1" t="s">
        <v>209</v>
      </c>
      <c r="J38" s="1" t="s">
        <v>644</v>
      </c>
      <c r="K38" s="1" t="s">
        <v>645</v>
      </c>
      <c r="L38" s="1" t="s">
        <v>209</v>
      </c>
      <c r="M38" s="1" t="s">
        <v>646</v>
      </c>
      <c r="N38" s="1" t="s">
        <v>647</v>
      </c>
      <c r="O38" s="1" t="s">
        <v>197</v>
      </c>
      <c r="P38" s="1" t="s">
        <v>49</v>
      </c>
      <c r="Q38" s="1" t="s">
        <v>50</v>
      </c>
      <c r="R38" s="1" t="s">
        <v>51</v>
      </c>
      <c r="S38" s="1" t="s">
        <v>52</v>
      </c>
      <c r="T38" s="1" t="s">
        <v>129</v>
      </c>
      <c r="U38" s="1" t="s">
        <v>648</v>
      </c>
      <c r="V38" s="1" t="s">
        <v>649</v>
      </c>
      <c r="W38" s="1" t="s">
        <v>62</v>
      </c>
      <c r="X38" s="1" t="s">
        <v>62</v>
      </c>
      <c r="Y38" s="1" t="s">
        <v>650</v>
      </c>
      <c r="Z38" s="1" t="s">
        <v>651</v>
      </c>
      <c r="AA38" s="1" t="s">
        <v>652</v>
      </c>
      <c r="AB38" s="1" t="s">
        <v>653</v>
      </c>
      <c r="AC38" s="1" t="s">
        <v>654</v>
      </c>
      <c r="AD38" s="1"/>
      <c r="AE38" s="1" t="s">
        <v>60</v>
      </c>
      <c r="AF38" s="5">
        <v>46191</v>
      </c>
      <c r="AG38" s="1" t="s">
        <v>61</v>
      </c>
      <c r="AH38" s="1" t="s">
        <v>62</v>
      </c>
      <c r="AI38" s="1" t="s">
        <v>63</v>
      </c>
      <c r="AJ38" s="1" t="str">
        <f t="shared" si="1"/>
        <v>the cancer imaging archive — tcia tcia (cancer imaging archive) de-identified cancer imaging, radiology, pathology, linked clinical/genomic collections open/public open/public imaging cancer; genomics/molecular; clinical trials the cancer imaging archive (tcia); tcia; cancer imaging; medical imaging; radiology; ct imaging; mri; pet imaging; dicom; radiomics; imaging biomarkers; quantitative imaging; oncology imaging; tumor imaging; image analysis; cancer diagnosis; imaging-genomics; multi-modal data; precision oncology; machine learning in imaging; cancer research imaging imaging; cancer; radiomics; precision oncology; imaging biomarkers; image analysis and machine learning; translational cancer research de-identified cancer imaging data from tens of thousands of patients global/international other patient medium ct images; mri images; pet images; dicom metadata; tumor segmentation masks; radiomic features; tumor size and volume measures; imaging biomarkers; cancer diagnosis and subtype; treatment response assessments; clinical annotations; survival outcomes; demographics (age, sex); imaging acquisition parameters radiomics research; medical image analysis; cancer diagnosis and prognosis modeling; imaging biomarker discovery; precision oncology; machine learning and artificial intelligence development; tumor segmentation and detection; imaging-genomics integration; treatment response assessment; translational cancer research nci genomic data commons (gdc)/tcga; seer program; dbgap; ncbi geo imaging protocols and acquisition parameters vary across institutions and studies; sample sizes differ substantially across collections and cancer types; clinical annotations may be incomplete or inconsistent; not population-representative; imaging quality and preprocessing requirements vary; longitudinal follow-up is limited in many collections; potential batch effects and scanner-related variability can affect analyses; machine learning studies require careful validation to avoid overfitting and dataset bias publicly available repository maintained by the cancer imaging archive (tcia); most imaging data are de-identified in accordance with hipaa and research privacy standards; data are distributed in dicom format with associated metadata and collection-specific documentation; some collections have specific data use or attribution requirements; users should cite tcia and the relevant collection publications; data provenance, image preprocessing, and collection-specific protocols should be documented to support reproducibility; linked datasets (e.g., tcga/gdc) may be subject to additional governance and access requirements</v>
      </c>
    </row>
    <row r="39" spans="1:36" ht="409.5" customHeight="1">
      <c r="A39" s="1" t="s">
        <v>655</v>
      </c>
      <c r="B39" s="1" t="s">
        <v>656</v>
      </c>
      <c r="C39" s="1" t="s">
        <v>657</v>
      </c>
      <c r="D39" s="4" t="s">
        <v>658</v>
      </c>
      <c r="E39" s="1" t="s">
        <v>659</v>
      </c>
      <c r="F39" s="1" t="s">
        <v>455</v>
      </c>
      <c r="G39" s="1" t="s">
        <v>455</v>
      </c>
      <c r="H39" s="1" t="s">
        <v>62</v>
      </c>
      <c r="I39" s="1" t="s">
        <v>192</v>
      </c>
      <c r="J39" s="1" t="s">
        <v>660</v>
      </c>
      <c r="K39" s="1" t="s">
        <v>661</v>
      </c>
      <c r="L39" s="1" t="s">
        <v>192</v>
      </c>
      <c r="M39" s="1" t="s">
        <v>662</v>
      </c>
      <c r="N39" s="1" t="s">
        <v>663</v>
      </c>
      <c r="O39" s="1" t="s">
        <v>48</v>
      </c>
      <c r="P39" s="1" t="s">
        <v>49</v>
      </c>
      <c r="Q39" s="1" t="s">
        <v>75</v>
      </c>
      <c r="R39" s="1" t="s">
        <v>51</v>
      </c>
      <c r="S39" s="1" t="s">
        <v>52</v>
      </c>
      <c r="T39" s="1" t="s">
        <v>51</v>
      </c>
      <c r="U39" s="1" t="s">
        <v>664</v>
      </c>
      <c r="V39" s="1" t="s">
        <v>665</v>
      </c>
      <c r="W39" s="1" t="s">
        <v>62</v>
      </c>
      <c r="X39" s="1" t="s">
        <v>62</v>
      </c>
      <c r="Y39" s="1" t="s">
        <v>666</v>
      </c>
      <c r="Z39" s="1" t="s">
        <v>667</v>
      </c>
      <c r="AA39" s="1" t="s">
        <v>668</v>
      </c>
      <c r="AB39" s="1" t="s">
        <v>669</v>
      </c>
      <c r="AC39" s="1" t="s">
        <v>670</v>
      </c>
      <c r="AD39" s="1"/>
      <c r="AE39" s="1" t="s">
        <v>52</v>
      </c>
      <c r="AF39" s="5">
        <v>46191</v>
      </c>
      <c r="AG39" s="1" t="s">
        <v>61</v>
      </c>
      <c r="AH39" s="1" t="s">
        <v>137</v>
      </c>
      <c r="AI39" s="1" t="s">
        <v>63</v>
      </c>
      <c r="AJ39" s="1" t="str">
        <f t="shared" si="1"/>
        <v>dbgap nih dbgap (dbgap.ncbi.nlm.nih.gov) human genotype–phenotype studies, genomic and clinical phenotype data open plus controlled data open plus controlled data genomics/molecular cancer; chronic disease; mental health; maternal/child health; hiv/infectious disease dbgap; database of genotypes and phenotypes; genomics; genotype data; phenotype data; genome-wide association study (gwas); whole genome sequencing; whole exome sequencing; genetic variation; snps; multi-omics; precision medicine; biomarkers; genomic epidemiology; human genetics; genotype-phenotype associations; nih genomic data; translational research; population genomics; genetic risk factors genomics/molecular genomics/molecular; precision medicine; human genetics; genetic epidemiology; multi-omics; biomarker discovery; translational research participants enrolled in genetic, genomic, clinical, epidemiologic, and phenotype studies, contains data from millions of study participants across thousands of studies united states other individual medium genotype data (snps); whole genome sequencing; whole exome sequencing; gene expression; dna methylation; copy number variation; polygenic risk scores; disease status; clinical outcomes; demographics (age, sex, race/ethnicity); biomarkers; family history; environmental exposures; behavioral risk factors; longitudinal health measures genome-wide association studies (gwas); genotype–phenotype association analyses; precision medicine research; biomarker discovery; genetic epidemiology; multi-omics integration; disease risk prediction; gene–environment interaction studies; longitudinal cohort analyses; translational and population genomics research ncbi geo; nci genomic data commons (gdc)/tcga; the cancer imaging archive (tcia); all of us research program access to many datasets requires controlled-access approval and data use agreements; study designs, populations, and variable definitions vary substantially across studies; data harmonization across studies can be challenging; many cohorts are not population-representative; missing data and batch effects may affect analyses; genetic ancestry and demographic diversity vary across studies; computational and data storage requirements can be substantial for genomic datasets; findings may not generalize across populations or settings managed by the national center for biotechnology information (ncbi) on behalf of the nih; most individual-level genotype and phenotype data are controlled access and require dbgap authorization; access is governed by participant consent restrictions, data access committee (dac) approvals, and nih genomic data sharing (gds) policies; users must comply with data security, privacy, and reporting requirements; data use is limited to approved research purposes; proper citation of dbgap accession numbers and source studies is required; data provenance, consent groups, and use restrictions should be documented in analyses</v>
      </c>
    </row>
    <row r="40" spans="1:36" ht="409.5" customHeight="1">
      <c r="A40" s="1" t="s">
        <v>671</v>
      </c>
      <c r="B40" s="1" t="s">
        <v>672</v>
      </c>
      <c r="C40" s="1" t="s">
        <v>673</v>
      </c>
      <c r="D40" s="4" t="s">
        <v>674</v>
      </c>
      <c r="E40" s="1" t="s">
        <v>675</v>
      </c>
      <c r="F40" s="1" t="s">
        <v>224</v>
      </c>
      <c r="G40" s="1" t="s">
        <v>224</v>
      </c>
      <c r="H40" s="1" t="s">
        <v>137</v>
      </c>
      <c r="I40" s="1" t="s">
        <v>192</v>
      </c>
      <c r="J40" s="1" t="s">
        <v>676</v>
      </c>
      <c r="K40" s="1" t="s">
        <v>677</v>
      </c>
      <c r="L40" s="1" t="s">
        <v>192</v>
      </c>
      <c r="M40" s="1" t="s">
        <v>678</v>
      </c>
      <c r="N40" s="1" t="s">
        <v>679</v>
      </c>
      <c r="O40" s="1" t="s">
        <v>197</v>
      </c>
      <c r="P40" s="1" t="s">
        <v>49</v>
      </c>
      <c r="Q40" s="1" t="s">
        <v>75</v>
      </c>
      <c r="R40" s="1" t="s">
        <v>51</v>
      </c>
      <c r="S40" s="1" t="s">
        <v>52</v>
      </c>
      <c r="T40" s="1" t="s">
        <v>129</v>
      </c>
      <c r="U40" s="1" t="s">
        <v>344</v>
      </c>
      <c r="V40" s="1" t="s">
        <v>649</v>
      </c>
      <c r="W40" s="1" t="s">
        <v>62</v>
      </c>
      <c r="X40" s="1" t="s">
        <v>62</v>
      </c>
      <c r="Y40" s="1" t="s">
        <v>680</v>
      </c>
      <c r="Z40" s="1" t="s">
        <v>681</v>
      </c>
      <c r="AA40" s="1" t="s">
        <v>682</v>
      </c>
      <c r="AB40" s="1" t="s">
        <v>683</v>
      </c>
      <c r="AC40" s="1" t="s">
        <v>684</v>
      </c>
      <c r="AD40" s="1"/>
      <c r="AE40" s="1" t="s">
        <v>52</v>
      </c>
      <c r="AF40" s="5">
        <v>46191</v>
      </c>
      <c r="AG40" s="1" t="s">
        <v>61</v>
      </c>
      <c r="AH40" s="1" t="s">
        <v>137</v>
      </c>
      <c r="AI40" s="1" t="s">
        <v>63</v>
      </c>
      <c r="AJ40" s="1" t="str">
        <f t="shared" si="1"/>
        <v>ncbi geo gene expression omnibus (ncbi) gene expression, transcriptomics, functional genomics datasets open/public open/public genomics/molecular cancer; chronic disease; mental health; hiv/infectious disease; maternal/child health ncbi geo; gene expression omnibus; gene expression; transcriptomics; rna sequencing (rna-seq); microarray; functional genomics; epigenomics; dna methylation; single-cell rna sequencing; gene regulation; differential expression; biomarkers; omics data; molecular profiling; systems biology; genotype–phenotype studies; precision medicine; bioinformatics; translational research genomics/molecular genomics/molecular; transcriptomics; functional genomics; epigenomics; biomarker discovery; systems biology; translational research samples from a wide range of organisms, including humans, animals, plants, microbes, and cell lines global/international other individual medium gene expression levels; rna-seq counts; microarray expression values; differential gene expression; dna methylation; chromatin accessibility; mirna expression; single-cell transcriptomic measures; sample characteristics; disease status; treatment/exposure status; demographics (age, sex); clinical outcomes; experimental conditions; molecular biomarkers gene expression analysis; biomarker discovery; differential expression studies; functional genomics research; pathway and network analysis; disease mechanism investigations; multi-omics integration; precision medicine research; treatment response studies; machine learning and predictive modeling using molecular data dbgap; nci genomic data commons (gdc)/tcga; the cancer imaging archive (tcia) highly heterogeneous repository with substantial variation in study design, platforms, sample processing, and data quality; metadata completeness and standardization vary across studies; batch effects and platform differences often require normalization and harmonization; many studies have small sample sizes; clinical and demographic information may be limited; findings may not generalize across populations or experimental conditions; reproducibility depends on careful quality control and study-specific preprocessing public repository maintained by the national center for biotechnology information (ncbi); most datasets are openly accessible, though linked controlled-access data may reside in dbgap; submitters are responsible for data quality, annotations, and metadata; human subject data are generally de-identified prior to submission; users should cite geo accession numbers and associated publications; data provenance, platform information, and processing methods should be documented to ensure reproducibility; governance and consent restrictions may apply when geo records link to external controlled-access resources</v>
      </c>
    </row>
    <row r="41" spans="1:36" ht="409.5" customHeight="1">
      <c r="A41" s="1" t="s">
        <v>685</v>
      </c>
      <c r="B41" s="1" t="s">
        <v>686</v>
      </c>
      <c r="C41" s="1" t="s">
        <v>687</v>
      </c>
      <c r="D41" s="4" t="s">
        <v>688</v>
      </c>
      <c r="E41" s="1" t="s">
        <v>689</v>
      </c>
      <c r="F41" s="1" t="s">
        <v>690</v>
      </c>
      <c r="G41" s="1" t="s">
        <v>691</v>
      </c>
      <c r="H41" s="1" t="s">
        <v>62</v>
      </c>
      <c r="I41" s="1" t="s">
        <v>43</v>
      </c>
      <c r="J41" s="1" t="s">
        <v>692</v>
      </c>
      <c r="K41" s="1" t="s">
        <v>693</v>
      </c>
      <c r="L41" s="1" t="s">
        <v>694</v>
      </c>
      <c r="M41" s="1" t="s">
        <v>695</v>
      </c>
      <c r="N41" s="1" t="s">
        <v>695</v>
      </c>
      <c r="O41" s="1" t="s">
        <v>197</v>
      </c>
      <c r="P41" s="1" t="s">
        <v>49</v>
      </c>
      <c r="Q41" s="1" t="s">
        <v>50</v>
      </c>
      <c r="R41" s="1" t="s">
        <v>51</v>
      </c>
      <c r="S41" s="1" t="s">
        <v>52</v>
      </c>
      <c r="T41" s="1" t="s">
        <v>51</v>
      </c>
      <c r="U41" s="1" t="s">
        <v>696</v>
      </c>
      <c r="V41" s="1" t="s">
        <v>697</v>
      </c>
      <c r="W41" s="1" t="s">
        <v>62</v>
      </c>
      <c r="X41" s="1" t="s">
        <v>62</v>
      </c>
      <c r="Y41" s="1" t="s">
        <v>698</v>
      </c>
      <c r="Z41" s="1" t="s">
        <v>699</v>
      </c>
      <c r="AA41" s="1" t="s">
        <v>700</v>
      </c>
      <c r="AB41" s="1" t="s">
        <v>701</v>
      </c>
      <c r="AC41" s="1" t="s">
        <v>702</v>
      </c>
      <c r="AD41" s="1"/>
      <c r="AE41" s="1" t="s">
        <v>60</v>
      </c>
      <c r="AF41" s="5">
        <v>46191</v>
      </c>
      <c r="AG41" s="1" t="s">
        <v>61</v>
      </c>
      <c r="AH41" s="1" t="s">
        <v>137</v>
      </c>
      <c r="AI41" s="1" t="s">
        <v>63</v>
      </c>
      <c r="AJ41" s="1" t="str">
        <f t="shared" si="1"/>
        <v>physionet physionet (physionet) physiologic signals, clinical datasets, ecg, icu, waveform, biomedical data open plus credentialed access plus restricted access open plus credentialed access ehr/clinical synthetic/methods physiological signals; ecg; icu monitoring; waveform data; clinical databases; biomedical research; machine learning; time series analysis; digital health; open health data physiologic signals biomedical signal processing; critical care; cardiology; clinical informatics; machine learning; digital health; biomedical engineering; health data science biomedical signal processing; critical care; cardiology; clinical informatics; machine learning; digital health; biomedical engineering; health data science global/international other patient medium ecg signals; heart rate; blood pressure; respiratory rate; oxygen saturation (spo₂); eeg signals; icu vital signs; laboratory values; demographics; clinical outcomes machine learning model development; physiologic signal analysis; cardiac arrhythmia detection; critical care prediction and monitoring; clinical decision support research; time series forecasting; biomedical engineering research; digital health algorithm validation; ai benchmarking; health data science education mimic-iv; n3c data enclave; all of us research program; uk biobank; synthea clinical populations may not be representative of the general population; substantial heterogeneity across datasets; limited geographic information; missing data and variable data quality; many datasets are condition- or setting-specific (e.g., icu, cardiology); potential selection bias; requires specialized expertise for signal processing; longitudinal follow-up varies by dataset; data harmonization challenges across studies; not designed for population-level prevalence estimates open-access and credentialed-access datasets; governed by physionet data use agreements; de-identified human subject data; some datasets require completion of research ethics training and user credentialing; redistribution restrictions may apply; users must comply with dataset-specific licensing and citation requirements; hosted by the mit laboratory for computational physiology with oversight for responsible data sharing</v>
      </c>
    </row>
    <row r="42" spans="1:36" ht="409.5" customHeight="1">
      <c r="A42" s="1" t="s">
        <v>703</v>
      </c>
      <c r="B42" s="1" t="s">
        <v>704</v>
      </c>
      <c r="C42" s="1" t="s">
        <v>705</v>
      </c>
      <c r="D42" s="4" t="s">
        <v>706</v>
      </c>
      <c r="E42" s="1" t="s">
        <v>707</v>
      </c>
      <c r="F42" s="1" t="s">
        <v>708</v>
      </c>
      <c r="G42" s="1" t="s">
        <v>708</v>
      </c>
      <c r="H42" s="1" t="s">
        <v>42</v>
      </c>
      <c r="I42" s="1" t="s">
        <v>43</v>
      </c>
      <c r="J42" s="1" t="s">
        <v>709</v>
      </c>
      <c r="K42" s="1" t="s">
        <v>710</v>
      </c>
      <c r="L42" s="1" t="s">
        <v>43</v>
      </c>
      <c r="M42" s="1" t="s">
        <v>711</v>
      </c>
      <c r="N42" s="1" t="s">
        <v>712</v>
      </c>
      <c r="O42" s="1" t="s">
        <v>48</v>
      </c>
      <c r="P42" s="1" t="s">
        <v>713</v>
      </c>
      <c r="Q42" s="1" t="s">
        <v>50</v>
      </c>
      <c r="R42" s="1" t="s">
        <v>51</v>
      </c>
      <c r="S42" s="1" t="s">
        <v>52</v>
      </c>
      <c r="T42" s="1" t="s">
        <v>51</v>
      </c>
      <c r="U42" s="1" t="s">
        <v>714</v>
      </c>
      <c r="V42" s="1" t="s">
        <v>715</v>
      </c>
      <c r="W42" s="1" t="s">
        <v>42</v>
      </c>
      <c r="X42" s="1" t="s">
        <v>42</v>
      </c>
      <c r="Y42" s="1" t="s">
        <v>716</v>
      </c>
      <c r="Z42" s="1" t="s">
        <v>717</v>
      </c>
      <c r="AA42" s="1" t="s">
        <v>718</v>
      </c>
      <c r="AB42" s="1" t="s">
        <v>719</v>
      </c>
      <c r="AC42" s="1" t="s">
        <v>720</v>
      </c>
      <c r="AD42" s="1"/>
      <c r="AE42" s="1" t="s">
        <v>60</v>
      </c>
      <c r="AF42" s="5">
        <v>46191</v>
      </c>
      <c r="AG42" s="1" t="s">
        <v>61</v>
      </c>
      <c r="AH42" s="1" t="s">
        <v>62</v>
      </c>
      <c r="AI42" s="1" t="s">
        <v>63</v>
      </c>
      <c r="AJ42" s="1" t="str">
        <f t="shared" si="1"/>
        <v>mimic-iv mimic-iv (physionet) de-identified icu, hospital, and emergency department ehr data credentialed access credentialed access ehr/clinical health care utilization/cost; synthetic/methods critical care; icu; electronic health records; hospital admissions; vital signs; laboratory results; medications; clinical outcomes; patient monitoring; intensive care database ehr/clinical critical care; intensive care medicine; clinical informatics; health services research; patient outcomes; hospital medicine; predictive analytics; machine learning in healthcare; digital health; biomedical data science 65,000+ icu patients and over 200,000+ ed patients admitted at beth israel deaconess medical center (bidmc) united states hospital/health system patient high demographics; diagnoses (icd codes); vital signs; laboratory results; medications; procedures; icu interventions; comorbidities; length of stay; mortality outcomes critical care outcomes research; clinical prediction modeling; machine learning and ai development; risk stratification; hospital utilization analysis; treatment effectiveness studies; clinical decision support research; patient trajectory analysis; sepsis and mortality prediction; health services research physionet; n3c data enclave; all of us research program; hcup/hcupnet; cms data; synthea single academic medical center; critical care population may not generalize to broader populations; limited geographic diversity; potential missing or incomplete ehr data; changes in clinical practice over time; observational data subject to confounding and bias; de-identification may remove useful temporal details; coding and documentation variability; limited long-term follow-up outside the health system; not designed for population-representative estimates de-identified patient data under hipaa safe harbor standards; access requires physionet credentialing and completion of human subjects/research ethics training; governed by physionet data use agreement; no direct patient identifiers included; users must comply with data security, privacy, and publication/citation requirements; redistribution restrictions may apply; hosted and maintained through the physionet platform</v>
      </c>
    </row>
    <row r="43" spans="1:36" ht="409.5" customHeight="1">
      <c r="A43" s="1" t="s">
        <v>721</v>
      </c>
      <c r="B43" s="1" t="s">
        <v>722</v>
      </c>
      <c r="C43" s="1" t="s">
        <v>723</v>
      </c>
      <c r="D43" s="4" t="s">
        <v>724</v>
      </c>
      <c r="E43" s="1" t="s">
        <v>725</v>
      </c>
      <c r="F43" s="1" t="s">
        <v>224</v>
      </c>
      <c r="G43" s="1" t="s">
        <v>224</v>
      </c>
      <c r="H43" s="1" t="s">
        <v>137</v>
      </c>
      <c r="I43" s="1" t="s">
        <v>692</v>
      </c>
      <c r="J43" s="1" t="s">
        <v>726</v>
      </c>
      <c r="K43" s="1" t="s">
        <v>727</v>
      </c>
      <c r="L43" s="1" t="s">
        <v>728</v>
      </c>
      <c r="M43" s="1" t="s">
        <v>729</v>
      </c>
      <c r="N43" s="1" t="s">
        <v>730</v>
      </c>
      <c r="O43" s="1" t="s">
        <v>48</v>
      </c>
      <c r="P43" s="1" t="s">
        <v>49</v>
      </c>
      <c r="Q43" s="1" t="s">
        <v>75</v>
      </c>
      <c r="R43" s="1" t="s">
        <v>51</v>
      </c>
      <c r="S43" s="1" t="s">
        <v>51</v>
      </c>
      <c r="T43" s="1" t="s">
        <v>51</v>
      </c>
      <c r="U43" s="1" t="s">
        <v>731</v>
      </c>
      <c r="V43" s="1" t="s">
        <v>732</v>
      </c>
      <c r="W43" s="1" t="s">
        <v>137</v>
      </c>
      <c r="X43" s="1" t="s">
        <v>137</v>
      </c>
      <c r="Y43" s="1" t="s">
        <v>733</v>
      </c>
      <c r="Z43" s="1" t="s">
        <v>734</v>
      </c>
      <c r="AA43" s="1" t="s">
        <v>735</v>
      </c>
      <c r="AB43" s="1" t="s">
        <v>736</v>
      </c>
      <c r="AC43" s="1" t="s">
        <v>737</v>
      </c>
      <c r="AD43" s="1"/>
      <c r="AE43" s="1" t="s">
        <v>52</v>
      </c>
      <c r="AF43" s="5">
        <v>46191</v>
      </c>
      <c r="AG43" s="1" t="s">
        <v>61</v>
      </c>
      <c r="AH43" s="1" t="s">
        <v>137</v>
      </c>
      <c r="AI43" s="1" t="s">
        <v>63</v>
      </c>
      <c r="AJ43" s="1" t="str">
        <f t="shared" si="1"/>
        <v>synthea synthea (synthea.org) synthetic patient-level ehr data for methods development and testing open/public open/public synthetic/methods ehr/clinical; claims/payment/provider synthetic health data; synthetic patients; ehr simulation; healthcare interoperability; fhir; claims data; clinical encounters; population health modeling; health it testing; data standards synthetic data health informatics; synthetic data generation; healthcare interoperability; ehr systems; population health modeling; health it testing; clinical informatics; data standards and exchange; machine learning methods; digital health synthetic patients generated by simulation models united states other individual low demographics; diagnoses; procedures; medications; laboratory results; encounters; insurance coverage; care utilization; social determinants of health; mortality and health outcomes health it system testing; ehr and fhir interoperability development; machine learning method development; synthetic control and simulation studies; education and training; software and analytics validation; population health modeling; data standards testing; clinical decision support prototyping; privacy-preserving research and benchmarking mimic-iv; physionet; n3c data enclave; all of us research program; cms data; hcup/hcupnet synthetic rather than real patient data; may not capture all complexities of real-world clinical care; disease prevalence and care patterns depend on simulation assumptions; not suitable for estimating true population rates or disparities; limited external validity for clinical effectiveness research; generated correlations may differ from real-world data; updates depend on model development and underlying assumptions; not appropriate for regulatory or epidemiologic inference without validation against real datasets open-source synthetic dataset generator; contains no real patient information and therefore poses minimal privacy risk; freely available for download and reuse under open-source licensing; no human subjects approval or data use agreement typically required; supports interoperability standards such as fhir, c-cda, and hl7; users should cite the synthea project and document any modifications to generated data; governance focuses on software licensing and version control rather than patient privacy protections</v>
      </c>
    </row>
    <row r="44" spans="1:36" ht="243" customHeight="1">
      <c r="A44" s="1" t="s">
        <v>738</v>
      </c>
      <c r="B44" s="1" t="s">
        <v>739</v>
      </c>
      <c r="C44" s="1" t="s">
        <v>740</v>
      </c>
      <c r="D44" s="1" t="s">
        <v>741</v>
      </c>
      <c r="E44" s="1" t="s">
        <v>742</v>
      </c>
      <c r="F44" s="1" t="s">
        <v>224</v>
      </c>
      <c r="G44" s="1" t="s">
        <v>224</v>
      </c>
      <c r="H44" s="1" t="s">
        <v>137</v>
      </c>
      <c r="I44" s="1" t="s">
        <v>123</v>
      </c>
      <c r="J44" s="1" t="s">
        <v>743</v>
      </c>
      <c r="K44" s="1" t="s">
        <v>744</v>
      </c>
      <c r="L44" s="1" t="s">
        <v>745</v>
      </c>
      <c r="M44" s="1" t="s">
        <v>746</v>
      </c>
      <c r="N44" s="1" t="s">
        <v>747</v>
      </c>
      <c r="O44" s="1" t="s">
        <v>197</v>
      </c>
      <c r="P44" s="1" t="s">
        <v>748</v>
      </c>
      <c r="Q44" s="1" t="s">
        <v>749</v>
      </c>
      <c r="R44" s="1" t="s">
        <v>52</v>
      </c>
      <c r="S44" s="1" t="s">
        <v>51</v>
      </c>
      <c r="T44" s="1" t="s">
        <v>52</v>
      </c>
      <c r="U44" s="1" t="s">
        <v>750</v>
      </c>
      <c r="V44" s="1" t="s">
        <v>751</v>
      </c>
      <c r="W44" s="1" t="s">
        <v>62</v>
      </c>
      <c r="X44" s="1" t="s">
        <v>137</v>
      </c>
      <c r="Y44" s="1" t="s">
        <v>752</v>
      </c>
      <c r="Z44" s="1" t="s">
        <v>753</v>
      </c>
      <c r="AA44" s="1" t="s">
        <v>754</v>
      </c>
      <c r="AB44" s="1" t="s">
        <v>755</v>
      </c>
      <c r="AC44" s="1" t="s">
        <v>756</v>
      </c>
      <c r="AD44" s="1"/>
      <c r="AE44" s="1" t="s">
        <v>52</v>
      </c>
      <c r="AF44" s="5">
        <v>46191</v>
      </c>
      <c r="AG44" s="1" t="s">
        <v>117</v>
      </c>
      <c r="AH44" s="1" t="s">
        <v>137</v>
      </c>
      <c r="AI44" s="1" t="s">
        <v>63</v>
      </c>
      <c r="AJ44" s="1" t="str">
        <f t="shared" si="1"/>
        <v>clinicaltrials.gov clinicaltrials.gov api (clinicaltrials.gov) clinical trial registry, study design, interventions, sponsors, outcomes, locations open/public open/public clinical trials clinical trials; trial registry; interventions; recruitment; eligibility; sponsors; study locations; outcomes; conditions; drugs; devices; behavioral interventions; api; global trials trial; clinical trial; intervention; sponsor; recruitment; eligibility; outcomes; arms; phase; condition; drug; device; biologic; behavioral intervention; nct id; study location; protocol; results; api; registry trial registry clinical trials; interventional studies; observational studies; trial recruitment; eligibility criteria; study outcomes; trial locations; sponsors/collaborators; drug and device studies; public trial registration clinical studies and trial records of registered patients/subjects; global/international facility/provider study/trial low nct id; study title; conditions; interventions; study type; phase; recruitment status; eligibility criteria; age/sex eligibility; enrollment; study arms/groups; outcome measures; sponsor/collaborators; study locations; facility name; city; state; country; start date; completion date; results availability; adverse events where reported clinical trial search and discovery; recruitment landscape analyses; trial availability by condition or geography; intervention and sponsor tracking; eligibility criteria review; trial outcome/result monitoring; drug/device development landscape analyses; api-based registry research; south carolina trial availability mapping pubmed; clinicaltrials.gov results database; fda drugs@fda; openfda; nih reporter; biolincc; dbgap; nci clinical trials search registry records are study-level rather than patient-level; data quality depends on sponsor/investigator reporting; eligibility, outcomes, adverse events, and results reporting may be incomplete or inconsistent; location/geographic fields may change with api updates; api structure and fields should be verified against current documentation. open/public api; no registration generally required; verify api documentation, field definitions, usage guidance, pagination, citation, and terms of use before analysi</v>
      </c>
    </row>
    <row r="45" spans="1:36" ht="159" customHeight="1">
      <c r="A45" s="1" t="s">
        <v>757</v>
      </c>
      <c r="B45" s="1" t="s">
        <v>758</v>
      </c>
      <c r="C45" s="1" t="s">
        <v>759</v>
      </c>
      <c r="D45" s="4" t="s">
        <v>760</v>
      </c>
      <c r="E45" s="1" t="s">
        <v>761</v>
      </c>
      <c r="F45" s="1" t="s">
        <v>224</v>
      </c>
      <c r="G45" s="1" t="s">
        <v>224</v>
      </c>
      <c r="H45" s="1" t="s">
        <v>137</v>
      </c>
      <c r="I45" s="1" t="s">
        <v>49</v>
      </c>
      <c r="J45" s="1" t="s">
        <v>762</v>
      </c>
      <c r="K45" s="1" t="s">
        <v>763</v>
      </c>
      <c r="L45" s="1" t="s">
        <v>92</v>
      </c>
      <c r="M45" s="1" t="s">
        <v>764</v>
      </c>
      <c r="N45" s="1" t="s">
        <v>765</v>
      </c>
      <c r="O45" s="1" t="s">
        <v>48</v>
      </c>
      <c r="P45" s="1" t="s">
        <v>49</v>
      </c>
      <c r="Q45" s="1" t="s">
        <v>49</v>
      </c>
      <c r="R45" s="1" t="s">
        <v>51</v>
      </c>
      <c r="S45" s="1" t="s">
        <v>129</v>
      </c>
      <c r="T45" s="1" t="s">
        <v>52</v>
      </c>
      <c r="U45" s="1" t="s">
        <v>214</v>
      </c>
      <c r="V45" s="1" t="s">
        <v>766</v>
      </c>
      <c r="W45" s="1" t="s">
        <v>129</v>
      </c>
      <c r="X45" s="1" t="s">
        <v>137</v>
      </c>
      <c r="Y45" s="1" t="s">
        <v>767</v>
      </c>
      <c r="Z45" s="1" t="s">
        <v>768</v>
      </c>
      <c r="AA45" s="1" t="s">
        <v>769</v>
      </c>
      <c r="AB45" s="1" t="s">
        <v>770</v>
      </c>
      <c r="AC45" s="1" t="s">
        <v>771</v>
      </c>
      <c r="AD45" s="1"/>
      <c r="AE45" s="1" t="s">
        <v>52</v>
      </c>
      <c r="AF45" s="5">
        <v>46191</v>
      </c>
      <c r="AG45" s="1" t="s">
        <v>117</v>
      </c>
      <c r="AH45" s="1" t="s">
        <v>137</v>
      </c>
      <c r="AI45" s="1" t="s">
        <v>63</v>
      </c>
      <c r="AJ45" s="1" t="str">
        <f t="shared" si="1"/>
        <v>openfda / faers openfda drug event api / faers (openfda) adverse drug events, medication safety, post-marketing surveillance open/public open/public other medication safety; medical device adverse events; adverse drug events; pharmacovigilance; post-marketing surveillance; drug safety; medication errors; therapeutic biologics; fda; api; public dashboard adverse event; drug safety; medication safety; medical device monitoring; faers; openfda; pharmacovigilance; post-marketing surveillance; medication error; side effect; drug reaction; suspect drug; concomitant drug; therapeutic failure; product quality; api; json registry/surveillance adverse drug events; medication safety; pharmacovigilance; post-marketing surveillance; medication errors; drug reactions; product quality problems; therapeutic failures patients represented in adverse event and medication error reports submitted to fda for marketed drugs and therapeutic biologics united states other other low safety report id; report receive date; patient age; patient sex; patient weight; drug products; suspect drugs; concomitant drugs; indications; route of administration; dose information; patient reactions; seriousness indicators; outcomes; medication errors; product quality problems; therapeutic failures; manufacturer report information medication safety surveillance; adverse drug event signal detection; pharmacovigilance research; post-marketing drug safety monitoring; medication error analyses; drug-reaction pattern exploration; api-based safety dashboard development fda faers public dashboard; drugs@fda; openfda drug label api; fda complete response letters; fda orange book; clinicaltrials.gov spontaneous adverse event reports are not medically validated and cannot establish causality or incidence; underreporting, duplicate reports, reporting bias, publicity effects, and incomplete report details may affect causal analyses; drug-reaction links are not always definitive when reports list multiple drugs and reactions; doesn't contain all or consecutive adverse events. open/public fda data source and api; no registration generally required; verify api documentation, field definitions, quarterly update timing, data lag, disclaimers, and responsible-use guidance before analysis.</v>
      </c>
    </row>
    <row r="46" spans="1:36" ht="409.5" customHeight="1">
      <c r="A46" s="1" t="s">
        <v>772</v>
      </c>
      <c r="B46" s="1" t="s">
        <v>773</v>
      </c>
      <c r="C46" s="1" t="s">
        <v>774</v>
      </c>
      <c r="D46" s="1" t="s">
        <v>775</v>
      </c>
      <c r="E46" s="1" t="s">
        <v>776</v>
      </c>
      <c r="F46" s="1" t="s">
        <v>224</v>
      </c>
      <c r="G46" s="1" t="s">
        <v>224</v>
      </c>
      <c r="H46" s="1" t="s">
        <v>137</v>
      </c>
      <c r="I46" s="1" t="s">
        <v>49</v>
      </c>
      <c r="J46" s="1" t="s">
        <v>777</v>
      </c>
      <c r="K46" s="1" t="s">
        <v>778</v>
      </c>
      <c r="L46" s="1" t="s">
        <v>92</v>
      </c>
      <c r="M46" s="1" t="s">
        <v>779</v>
      </c>
      <c r="N46" s="1" t="s">
        <v>780</v>
      </c>
      <c r="O46" s="1" t="s">
        <v>48</v>
      </c>
      <c r="P46" s="1" t="s">
        <v>259</v>
      </c>
      <c r="Q46" s="1" t="s">
        <v>75</v>
      </c>
      <c r="R46" s="1" t="s">
        <v>51</v>
      </c>
      <c r="S46" s="1" t="s">
        <v>51</v>
      </c>
      <c r="T46" s="1" t="s">
        <v>52</v>
      </c>
      <c r="U46" s="1" t="s">
        <v>781</v>
      </c>
      <c r="V46" s="1" t="s">
        <v>782</v>
      </c>
      <c r="W46" s="1" t="s">
        <v>62</v>
      </c>
      <c r="X46" s="1" t="s">
        <v>62</v>
      </c>
      <c r="Y46" s="1" t="s">
        <v>783</v>
      </c>
      <c r="Z46" s="1" t="s">
        <v>784</v>
      </c>
      <c r="AA46" s="1" t="s">
        <v>785</v>
      </c>
      <c r="AB46" s="1" t="s">
        <v>786</v>
      </c>
      <c r="AC46" s="1" t="s">
        <v>787</v>
      </c>
      <c r="AD46" s="1"/>
      <c r="AE46" s="1" t="s">
        <v>52</v>
      </c>
      <c r="AF46" s="5">
        <v>46191</v>
      </c>
      <c r="AG46" s="1" t="s">
        <v>117</v>
      </c>
      <c r="AH46" s="1" t="s">
        <v>137</v>
      </c>
      <c r="AI46" s="1" t="s">
        <v>63</v>
      </c>
      <c r="AJ46" s="1" t="str">
        <f t="shared" si="1"/>
        <v>vaers vaers data (vaers.hhs.gov) vaccine adverse event reports open/public open/public other vaccine safety; adverse events; pharmacovigilance; post-marketing surveillance; immunization; cdc; fda; passive surveillance; meddra; public health surveillance vaers; vaccine; adverse event; immunization; vaccine safety; side effects; post-marketing surveillance; passive surveillance; cdc; fda; meddra; vaccine lot; manufacturer; hospitalization; death; serious adverse event registry/surveillance vaccine safety; adverse events following immunization; immunization surveillance; post-marketing vaccine monitoring; serious adverse events; medication/vaccine safety people of all ages with suspected adverse events reported after administration of u.s.-licensed vaccines united states state individual medium vaers id; report received date; state; age; sex; symptom narrative; meddra-coded symptoms; vaccine type; vaccine name; manufacturer; vaccine lot; dose series; vaccination route; vaccination site; vaccination date; adverse event onset date; days from vaccination to onset; hospitalization; life-threatening event; disability; death; recovery status; other medications; current illness; medical history; allergies vaccine safety surveillance; adverse event signal detection; post-marketing vaccine monitoring; serious adverse event review; vaccine lot/manufacturer safety exploration; descriptive analyses of reported symptoms following vaccination cdc wonder; fda faers; openfda drug event api; cdc immunization data; cdc data portal; pubmed; clinicaltrials.gov passive surveillance data based on unverified reports; reports do not establish causality or incidence; subject to underreporting, reporting bias, duplicate/conflicting reports, incomplete information, and multiple vaccines per report; public data may not include follow-up information and should be interpreted cautiously. open/public downloadable csv files and cdc wonder access; no identifying individual information is provided in public files; captcha may be required for downloads; verify data use guide, update date, file structure, meddra coding, disclaimer, and responsible-use guidance before analysis.</v>
      </c>
    </row>
    <row r="47" spans="1:36" ht="409.5" customHeight="1">
      <c r="A47" s="1" t="s">
        <v>788</v>
      </c>
      <c r="B47" s="1" t="s">
        <v>789</v>
      </c>
      <c r="C47" s="1" t="s">
        <v>790</v>
      </c>
      <c r="D47" s="1" t="s">
        <v>791</v>
      </c>
      <c r="E47" s="1" t="s">
        <v>792</v>
      </c>
      <c r="F47" s="1" t="s">
        <v>224</v>
      </c>
      <c r="G47" s="1" t="s">
        <v>224</v>
      </c>
      <c r="H47" s="1" t="s">
        <v>137</v>
      </c>
      <c r="I47" s="1" t="s">
        <v>49</v>
      </c>
      <c r="J47" s="1" t="s">
        <v>793</v>
      </c>
      <c r="K47" s="1" t="s">
        <v>794</v>
      </c>
      <c r="L47" s="1" t="s">
        <v>795</v>
      </c>
      <c r="M47" s="1" t="s">
        <v>796</v>
      </c>
      <c r="N47" s="1" t="s">
        <v>797</v>
      </c>
      <c r="O47" s="1" t="s">
        <v>48</v>
      </c>
      <c r="P47" s="1" t="s">
        <v>326</v>
      </c>
      <c r="Q47" s="1" t="s">
        <v>293</v>
      </c>
      <c r="R47" s="1" t="s">
        <v>52</v>
      </c>
      <c r="S47" s="1" t="s">
        <v>51</v>
      </c>
      <c r="T47" s="1" t="s">
        <v>52</v>
      </c>
      <c r="U47" s="1" t="s">
        <v>798</v>
      </c>
      <c r="V47" s="1" t="s">
        <v>799</v>
      </c>
      <c r="W47" s="1" t="s">
        <v>42</v>
      </c>
      <c r="X47" s="1" t="s">
        <v>42</v>
      </c>
      <c r="Y47" s="1" t="s">
        <v>800</v>
      </c>
      <c r="Z47" s="1" t="s">
        <v>801</v>
      </c>
      <c r="AA47" s="1" t="s">
        <v>802</v>
      </c>
      <c r="AB47" s="1" t="s">
        <v>803</v>
      </c>
      <c r="AC47" s="1" t="s">
        <v>804</v>
      </c>
      <c r="AD47" s="1"/>
      <c r="AE47" s="1" t="s">
        <v>51</v>
      </c>
      <c r="AF47" s="5">
        <v>46192</v>
      </c>
      <c r="AG47" s="1" t="s">
        <v>117</v>
      </c>
      <c r="AH47" s="1" t="s">
        <v>42</v>
      </c>
      <c r="AI47" s="1" t="s">
        <v>63</v>
      </c>
      <c r="AJ47" s="1" t="str">
        <f t="shared" si="1"/>
        <v>cdc environmental public health tracking network cdc tracking network (ephtracking.cdc.gov) environmental exposures, asthma, heat, air quality, community health indicators open/public open/public other environmental health; public health surveillance; air quality; heat; climate; water quality; asthma; birth defects; cancer; environmental justice; sdoh; geospatial; dashboards; data explorer environment; environmental health; exposure; air quality; heat; climate; water; asthma; birth defects; cancer; environmental justice; public health; surveillance; cdc tracking; county; census tract; zip code; map; dashboard; data explorer environmental environmental exposure; environmental health; air quality; heat and climate; water quality; asthma; birth defects; cancer; environmental justice; public health surveillance; community health indicators u.s. populations and communities represented through environmental, health, exposure, and population indicators united states census tract county high environmental indicators; exposure indicators; air quality measures; heat and temperature measures; climate indicators; water quality measures; asthma indicators; birth defect indicators; cancer indicators; environmental justice indicators; population/demographic measures; county, census tract, state, year, and geography variables environmental health surveillance; heat and climate health analyses; air pollution and asthma research; environmental justice analyses; county or tract-level exposure mapping; community health assessment; south carolina environmental public health planning; data visualization and dashboard-based exploration epa aqs; epa envirofacts; cdc places; acs; cdc/atsdr svi; county health rankings; cdc wonder; sc dph public health data heterogeneous indicator portal; available years, geographies, measures, and update schedules vary by topic; some outputs are aggregated dashboards/maps rather than analysis-ready microdata; finer geographic resolution may not be available for every indicator; verify metadata, definitions, suppression rules, and download/api options before analysis. open/public cdc data explorer and dashboards; no registration generally required; verify indicator-specific metadata, update date, geography level, citation guidance, api/download documentation, and suppression/privacy rules.</v>
      </c>
    </row>
    <row r="48" spans="1:36" ht="409.5" customHeight="1">
      <c r="A48" s="1" t="s">
        <v>805</v>
      </c>
      <c r="B48" s="1" t="s">
        <v>806</v>
      </c>
      <c r="C48" s="1" t="s">
        <v>807</v>
      </c>
      <c r="D48" s="1" t="s">
        <v>808</v>
      </c>
      <c r="E48" s="1" t="s">
        <v>809</v>
      </c>
      <c r="F48" s="1" t="s">
        <v>224</v>
      </c>
      <c r="G48" s="1" t="s">
        <v>224</v>
      </c>
      <c r="H48" s="1" t="s">
        <v>137</v>
      </c>
      <c r="I48" s="1" t="s">
        <v>810</v>
      </c>
      <c r="J48" s="1" t="s">
        <v>811</v>
      </c>
      <c r="K48" s="1" t="s">
        <v>812</v>
      </c>
      <c r="L48" s="1" t="s">
        <v>795</v>
      </c>
      <c r="M48" s="1" t="s">
        <v>813</v>
      </c>
      <c r="N48" s="1" t="s">
        <v>814</v>
      </c>
      <c r="O48" s="1" t="s">
        <v>48</v>
      </c>
      <c r="P48" s="3" t="s">
        <v>815</v>
      </c>
      <c r="Q48" s="1" t="s">
        <v>815</v>
      </c>
      <c r="R48" s="1" t="s">
        <v>52</v>
      </c>
      <c r="S48" s="1" t="s">
        <v>51</v>
      </c>
      <c r="T48" s="1" t="s">
        <v>52</v>
      </c>
      <c r="U48" s="1" t="s">
        <v>816</v>
      </c>
      <c r="V48" s="1" t="s">
        <v>816</v>
      </c>
      <c r="W48" s="1" t="s">
        <v>42</v>
      </c>
      <c r="X48" s="1" t="s">
        <v>42</v>
      </c>
      <c r="Y48" s="1" t="s">
        <v>817</v>
      </c>
      <c r="Z48" s="1" t="s">
        <v>818</v>
      </c>
      <c r="AA48" s="1" t="s">
        <v>819</v>
      </c>
      <c r="AB48" s="1" t="s">
        <v>820</v>
      </c>
      <c r="AC48" s="1" t="s">
        <v>821</v>
      </c>
      <c r="AD48" s="1"/>
      <c r="AE48" s="1" t="s">
        <v>60</v>
      </c>
      <c r="AF48" s="5">
        <v>46191</v>
      </c>
      <c r="AG48" s="1" t="s">
        <v>117</v>
      </c>
      <c r="AH48" s="1" t="s">
        <v>62</v>
      </c>
      <c r="AI48" s="1" t="s">
        <v>63</v>
      </c>
      <c r="AJ48" s="1" t="str">
        <f t="shared" si="1"/>
        <v>epa envirofacts epa envirofacts data downloads (us epa) environmental facility, air, water, hazardous waste, toxic release, compliance data open/public open/public environmental exposure environmental health; epa; facilities; regulated facilities; toxic releases; air; water; land; waste; radiation; chemicals; tri; frs; sdwis; radnet; geospatial; environmental compliance environment; epa; envirofacts; facility; regulated facility; toxic release; tri; frs; sdwis; radnet; air; water; land; waste; chemicals; radiation; pollution; emissions; environmental exposure; latitude; longitude; geospatial; csv; api environmental environmental exposure; environmental health; toxic releases; regulated facilities; air pollution; water systems; waste management; radiation monitoring; chemical releases; environmental compliance; geospatial facility data u.s. environmental facilities, regulated entities, monitoring locations, water systems, chemical release sites, and communities potentially affected by environmental activities united states facility/provider facility/provider high facility identifiers; facility names; facility locations; latitude/longitude; epa program identifiers; facility registry service data; toxic release inventory measures; chemical releases; waste management measures; water system indicators; environmental radiation measures; regulatory program classifications; organization information; state, county, zip, and geography variables environmental exposure mapping; regulated facility identification; toxic release and chemical exposure analyses; facility proximity studies; environmental justice research; water system and radiation monitoring analyses; south carolina environmental health planning; linkage with svi, acs, places, and health outcome data epa aqs; epa echo; epa tri; facility registry service; sdwis; radnet; cdc environmental public health tracking network; acs; cdc/atsdr svi; cdc places heterogeneous epa data warehouse with different program databases, definitions, years, update schedules, and data quality rules; facility/location data may be incomplete or inconsistent; exposure cannot be inferred directly from facility proximity or release records; verify program-specific metadata, update date, geocoding quality, and download/api documentation. open/public epa data downloads, geospatial files, searches, and apis; no registration generally required; verify program-specific metadata, data refresh schedule, citation guidance, licensing/terms, and responsible-use notes before analysis.</v>
      </c>
    </row>
    <row r="49" spans="1:36" ht="409.5" customHeight="1">
      <c r="A49" s="1" t="s">
        <v>822</v>
      </c>
      <c r="B49" s="1" t="s">
        <v>823</v>
      </c>
      <c r="C49" s="1" t="s">
        <v>824</v>
      </c>
      <c r="D49" s="4" t="s">
        <v>825</v>
      </c>
      <c r="E49" s="1" t="s">
        <v>826</v>
      </c>
      <c r="F49" s="1" t="s">
        <v>224</v>
      </c>
      <c r="G49" s="1" t="s">
        <v>224</v>
      </c>
      <c r="H49" s="1" t="s">
        <v>137</v>
      </c>
      <c r="I49" s="1" t="s">
        <v>810</v>
      </c>
      <c r="J49" s="1" t="s">
        <v>827</v>
      </c>
      <c r="K49" s="1" t="s">
        <v>828</v>
      </c>
      <c r="L49" s="1" t="s">
        <v>795</v>
      </c>
      <c r="M49" s="1" t="s">
        <v>829</v>
      </c>
      <c r="N49" s="1" t="s">
        <v>830</v>
      </c>
      <c r="O49" s="1" t="s">
        <v>48</v>
      </c>
      <c r="P49" s="1" t="s">
        <v>49</v>
      </c>
      <c r="Q49" s="1" t="s">
        <v>49</v>
      </c>
      <c r="R49" s="1" t="s">
        <v>52</v>
      </c>
      <c r="S49" s="1" t="s">
        <v>51</v>
      </c>
      <c r="T49" s="1" t="s">
        <v>51</v>
      </c>
      <c r="U49" s="1" t="s">
        <v>245</v>
      </c>
      <c r="V49" s="1" t="s">
        <v>697</v>
      </c>
      <c r="W49" s="1" t="s">
        <v>62</v>
      </c>
      <c r="X49" s="1" t="s">
        <v>42</v>
      </c>
      <c r="Y49" s="1" t="s">
        <v>831</v>
      </c>
      <c r="Z49" s="1" t="s">
        <v>832</v>
      </c>
      <c r="AA49" s="1" t="s">
        <v>833</v>
      </c>
      <c r="AB49" s="1" t="s">
        <v>834</v>
      </c>
      <c r="AC49" s="1" t="s">
        <v>835</v>
      </c>
      <c r="AD49" s="1"/>
      <c r="AE49" s="1" t="s">
        <v>52</v>
      </c>
      <c r="AF49" s="5">
        <v>46192</v>
      </c>
      <c r="AG49" s="1" t="s">
        <v>61</v>
      </c>
      <c r="AH49" s="1" t="s">
        <v>62</v>
      </c>
      <c r="AI49" s="1" t="s">
        <v>63</v>
      </c>
      <c r="AJ49" s="1" t="str">
        <f t="shared" si="1"/>
        <v>epa air quality system — aqs epa aqs api (aqs.epa.gov) ambient air monitoring data from u.s. monitors open/public open/public environmental exposure sdoh/geospatial; chronic disease air quality; air pollution; pm2.5; ozone; nitrogen dioxide (no₂); sulfur dioxide (so₂); carbon monoxide; environmental monitoring; ambient air measurements; epa monitoring stations environmental environmental health; air pollution exposure; environmental epidemiology; climate and health; respiratory health; cardiovascular health; exposure assessment; geospatial health analysis; environmental justice; public health surveillance air quality / pollution data collected by epa, state, and municipal monitoring (2,500 monitoring stations total, 500 city forecasts)- organized by geographic units united states other other high pm2.5 concentration; pm10 concentration; ozone (o₃); nitrogen dioxide (no₂); sulfur dioxide (so₂); carbon monoxide (co); air quality index (aqi); monitoring site location; date/time of measurement; pollutant exceedance indicators air pollution exposure assessment; environmental epidemiology; climate and health research; environmental justice analysis; geospatial exposure mapping; chronic disease and respiratory health studies; cardiovascular health research; public health surveillance; policy evaluation; exposure linkage with health datasets cdc environmental public health tracking network; epa envirofacts; acs; cdc/atsdr svi; cdc places; county health rankings &amp; roadmaps; nhanes monitoring stations are unevenly distributed geographically; limited coverage in some rural areas; exposure measurements may not reflect individual-level exposure; missing data and varying monitoring frequency across locations and pollutants; changes in monitoring methods over time; spatial interpolation may introduce uncertainty; ecological analyses are subject to ecological fallacy; pollutant coverage varies by monitoring site; not all locations have continuous long-term monitoring. publicly available epa data with no individual-level information; maintained under epa quality assurance and quality control (qa/qc) protocols; monitoring data are submitted by federal, state, local, and tribal agencies; no special data use agreement or human subjects approval required; data are regularly updated and versioned by epa; users should document data extraction dates and pollutant-specific methodologies when conducting analyses</v>
      </c>
    </row>
    <row r="50" spans="1:36" ht="409.5" customHeight="1">
      <c r="A50" s="1" t="s">
        <v>836</v>
      </c>
      <c r="B50" s="1" t="s">
        <v>837</v>
      </c>
      <c r="C50" s="1" t="s">
        <v>838</v>
      </c>
      <c r="D50" s="4" t="s">
        <v>839</v>
      </c>
      <c r="E50" s="1" t="s">
        <v>840</v>
      </c>
      <c r="F50" s="1" t="s">
        <v>224</v>
      </c>
      <c r="G50" s="1" t="s">
        <v>224</v>
      </c>
      <c r="H50" s="1" t="s">
        <v>137</v>
      </c>
      <c r="I50" s="1" t="s">
        <v>841</v>
      </c>
      <c r="J50" s="1" t="s">
        <v>842</v>
      </c>
      <c r="K50" s="1" t="s">
        <v>843</v>
      </c>
      <c r="L50" s="1" t="s">
        <v>323</v>
      </c>
      <c r="M50" s="1" t="s">
        <v>844</v>
      </c>
      <c r="N50" s="1" t="s">
        <v>845</v>
      </c>
      <c r="O50" s="1" t="s">
        <v>48</v>
      </c>
      <c r="P50" s="1" t="s">
        <v>293</v>
      </c>
      <c r="Q50" s="1" t="s">
        <v>293</v>
      </c>
      <c r="R50" s="1" t="s">
        <v>52</v>
      </c>
      <c r="S50" s="1" t="s">
        <v>51</v>
      </c>
      <c r="T50" s="1" t="s">
        <v>51</v>
      </c>
      <c r="U50" s="1" t="s">
        <v>846</v>
      </c>
      <c r="V50" s="1" t="s">
        <v>847</v>
      </c>
      <c r="W50" s="1" t="s">
        <v>62</v>
      </c>
      <c r="X50" s="1" t="s">
        <v>42</v>
      </c>
      <c r="Y50" s="1" t="s">
        <v>848</v>
      </c>
      <c r="Z50" s="1" t="s">
        <v>849</v>
      </c>
      <c r="AA50" s="1" t="s">
        <v>850</v>
      </c>
      <c r="AB50" s="1" t="s">
        <v>851</v>
      </c>
      <c r="AC50" s="1" t="s">
        <v>852</v>
      </c>
      <c r="AD50" s="1"/>
      <c r="AE50" s="1" t="s">
        <v>51</v>
      </c>
      <c r="AF50" s="5">
        <v>46192</v>
      </c>
      <c r="AG50" s="1" t="s">
        <v>61</v>
      </c>
      <c r="AH50" s="1" t="s">
        <v>42</v>
      </c>
      <c r="AI50" s="1" t="s">
        <v>63</v>
      </c>
      <c r="AJ50" s="1" t="str">
        <f t="shared" si="1"/>
        <v>usda food environment atlas usda food environment atlas (economic research service) county food access, food stores, restaurants, assistance programs, local foods open/public open/public food/nutrition sdoh/geospatial; rurality food environment; food access; food deserts; nutrition; healthy food availability; grocery stores; food insecurity; snap participation; obesity; community food resources geospatial/area-level food access; nutrition and diet; food insecurity; obesity and chronic disease; community food environment; rural health; social determinants of health; health equity; geographic access to services; population health u.s. communities and resident populations represented at the county and state levels united states county county high food access indicators; food desert status; grocery store availability; snap participation; farmers market access; restaurant density; food insecurity measures; obesity prevalence; physical activity indicators; household vehicle access and distance to food retailers food access and food desert research; nutrition and obesity studies; social determinants of health analysis; rural health research; health equity and environmental justice studies; community needs assessments; geographic access to healthy foods analysis; policy evaluation; population health planning; linking food environment data with health outcomes datasets acs; cdc places; county health rankings &amp; roadmaps; ahrq sdoh database; cdc/atsdr svi; usda rural-urban continuum codes; brfss indicators are aggregated primarily at the county level and may mask within-county disparities; variable definitions and update schedules differ across data sources; not all measures are available for all years; some indicators are modeled or derived rather than directly observed; limited ability to assess individual-level food access or behavior; rural and urban comparisons may be affected by differing geographic contexts; temporal comparisons should account for methodology changes; not designed for causal inference publicly available usda dataset integrating indicators from multiple federal sources; contains no individual-level identifiable information; county-level aggregated data require no data use agreement or human subjects approval; users should review source-specific documentation and methodologies for individual indicators; update schedules vary by contributing dataset; data provenance should be documented when combining indicators across years or sources; citation of both the food environment atlas and underlying data sources is recommended</v>
      </c>
    </row>
    <row r="51" spans="1:36" ht="409.5" customHeight="1">
      <c r="A51" s="1" t="s">
        <v>853</v>
      </c>
      <c r="B51" s="1" t="s">
        <v>854</v>
      </c>
      <c r="C51" s="1" t="s">
        <v>855</v>
      </c>
      <c r="D51" s="4" t="s">
        <v>856</v>
      </c>
      <c r="E51" s="1" t="s">
        <v>857</v>
      </c>
      <c r="F51" s="1" t="s">
        <v>224</v>
      </c>
      <c r="G51" s="1" t="s">
        <v>224</v>
      </c>
      <c r="H51" s="1" t="s">
        <v>137</v>
      </c>
      <c r="I51" s="1" t="s">
        <v>858</v>
      </c>
      <c r="J51" s="1" t="s">
        <v>339</v>
      </c>
      <c r="K51" s="1" t="s">
        <v>859</v>
      </c>
      <c r="L51" s="1" t="s">
        <v>323</v>
      </c>
      <c r="M51" s="1" t="s">
        <v>860</v>
      </c>
      <c r="N51" s="1" t="s">
        <v>861</v>
      </c>
      <c r="O51" s="1" t="s">
        <v>48</v>
      </c>
      <c r="P51" s="1" t="s">
        <v>293</v>
      </c>
      <c r="Q51" s="1" t="s">
        <v>293</v>
      </c>
      <c r="R51" s="1" t="s">
        <v>52</v>
      </c>
      <c r="S51" s="1" t="s">
        <v>51</v>
      </c>
      <c r="T51" s="1" t="s">
        <v>52</v>
      </c>
      <c r="U51" s="1" t="s">
        <v>862</v>
      </c>
      <c r="V51" s="1" t="s">
        <v>715</v>
      </c>
      <c r="W51" s="1" t="s">
        <v>62</v>
      </c>
      <c r="X51" s="1" t="s">
        <v>42</v>
      </c>
      <c r="Y51" s="1" t="s">
        <v>863</v>
      </c>
      <c r="Z51" s="1" t="s">
        <v>864</v>
      </c>
      <c r="AA51" s="1" t="s">
        <v>865</v>
      </c>
      <c r="AB51" s="1" t="s">
        <v>866</v>
      </c>
      <c r="AC51" s="1" t="s">
        <v>867</v>
      </c>
      <c r="AD51" s="1"/>
      <c r="AE51" s="1" t="s">
        <v>51</v>
      </c>
      <c r="AF51" s="5">
        <v>46192</v>
      </c>
      <c r="AG51" s="1" t="s">
        <v>61</v>
      </c>
      <c r="AH51" s="1" t="s">
        <v>42</v>
      </c>
      <c r="AI51" s="1" t="s">
        <v>63</v>
      </c>
      <c r="AJ51" s="1" t="str">
        <f t="shared" si="1"/>
        <v>usda rural-urban continuum codes usda rucc (economic research service) county-level rurality and metro/nonmetro classification open/public open/public rurality sdoh/geospatial rural-urban continuum codes; rucc; rurality; urbanization; metropolitan status; nonmetropolitan counties; county classification; rural health; geographic classification; usda rural indicators geospatial/area-level rural health; geographic disparities; social determinants of health; health services access; population health; health equity; regional development; healthcare workforce distribution; community characteristics; geospatial health research us population at community level - organized by degree of urbanization united states county county high rural-urban continuum code (rucc); metropolitan status; nonmetropolitan status; population size category; urbanization level; adjacency to metropolitan area; county fips code; county name; state; rurality classification category rural health research; urban–rural disparities analysis; health services access studies; social determinants of health research; geographic stratification of health outcomes; policy evaluation; healthcare workforce distribution analysis; community health needs assessments; population health research; linking rurality measures to clinical, survey, or claims datasets acs; county health rankings &amp; roadmaps; ahrf; cdc places; cdc/atsdr svi; usda food environment atlas; brfss county-level classification may mask substantial within-county variation; counties are large and heterogeneous geographic units; updated only periodically rather than annually; rurality definitions may not capture all dimensions of rural experience; not suitable for individual-level analyses; changes in county classification over time can complicate trend analyses; adjacency measures may not fully reflect access to services or healthcare resources; should be supplemented with more granular geographic measures when available publicly available usda economic research service (ers) classification system; contains no individual-level or confidential information; no data use agreement or human subjects approval required; county classifications are based on federal definitions of metropolitan and nonmetropolitan areas; periodic updates reflect changes in census and office of management and budget (omb) metropolitan area definitions; users should document the rucc version/year used because classifications can change between releases; appropriate citation of usda ers is recommended</v>
      </c>
    </row>
    <row r="52" spans="1:36" ht="409.5" customHeight="1">
      <c r="A52" s="1" t="s">
        <v>868</v>
      </c>
      <c r="B52" s="1" t="s">
        <v>869</v>
      </c>
      <c r="C52" s="1" t="s">
        <v>870</v>
      </c>
      <c r="D52" s="4" t="s">
        <v>871</v>
      </c>
      <c r="E52" s="1" t="s">
        <v>872</v>
      </c>
      <c r="F52" s="1" t="s">
        <v>224</v>
      </c>
      <c r="G52" s="1" t="s">
        <v>224</v>
      </c>
      <c r="H52" s="1" t="s">
        <v>137</v>
      </c>
      <c r="I52" s="1" t="s">
        <v>873</v>
      </c>
      <c r="J52" s="1" t="s">
        <v>874</v>
      </c>
      <c r="K52" s="1" t="s">
        <v>875</v>
      </c>
      <c r="L52" s="1" t="s">
        <v>92</v>
      </c>
      <c r="M52" s="1" t="s">
        <v>876</v>
      </c>
      <c r="N52" s="1" t="s">
        <v>877</v>
      </c>
      <c r="O52" s="1" t="s">
        <v>197</v>
      </c>
      <c r="P52" s="1" t="s">
        <v>376</v>
      </c>
      <c r="Q52" s="1" t="s">
        <v>376</v>
      </c>
      <c r="R52" s="1" t="s">
        <v>52</v>
      </c>
      <c r="S52" s="1" t="s">
        <v>51</v>
      </c>
      <c r="T52" s="1" t="s">
        <v>51</v>
      </c>
      <c r="U52" s="1" t="s">
        <v>878</v>
      </c>
      <c r="V52" s="1" t="s">
        <v>95</v>
      </c>
      <c r="W52" s="1" t="s">
        <v>137</v>
      </c>
      <c r="X52" s="1" t="s">
        <v>137</v>
      </c>
      <c r="Y52" s="1" t="s">
        <v>879</v>
      </c>
      <c r="Z52" s="1" t="s">
        <v>880</v>
      </c>
      <c r="AA52" s="1" t="s">
        <v>881</v>
      </c>
      <c r="AB52" s="1" t="s">
        <v>882</v>
      </c>
      <c r="AC52" s="1" t="s">
        <v>883</v>
      </c>
      <c r="AD52" s="1"/>
      <c r="AE52" s="1" t="s">
        <v>60</v>
      </c>
      <c r="AF52" s="5">
        <v>46192</v>
      </c>
      <c r="AG52" s="1" t="s">
        <v>61</v>
      </c>
      <c r="AH52" s="1" t="s">
        <v>137</v>
      </c>
      <c r="AI52" s="1" t="s">
        <v>63</v>
      </c>
      <c r="AJ52" s="1" t="str">
        <f t="shared" si="1"/>
        <v>who global health observatory who gho (world health organization) global health indicators across who member states open/public open/public global health chronic disease; maternal/child health; hiv/infectious disease global health; international health statistics; who indicators; disease burden; mortality; life expectancy; maternal health; child health; infectious diseases; health systems registry/surveillance global health; population health; noncommunicable diseases; infectious diseases; maternal and child health; mortality and life expectancy; health systems and services; health equity; public health surveillance; sustainable development goals (sdgs) global populations represented through national and subnational health indicators global/international country country low life expectancy; mortality rates; infant mortality; maternal mortality; disease incidence and prevalence; vaccination coverage; hiv prevalence; tuberculosis incidence; health workforce indicators; health expenditure measures global health comparisons; international disease surveillance; health disparities research; monitoring sustainable development goals (sdgs); maternal and child health studies; infectious disease epidemiology; noncommunicable disease research; health systems performance assessment; population health trend analysis; cross-country policy evaluation world bank open data; ihme global burden of disease (gbd); oecd health statistics data quality and completeness vary across countries; reporting standards and surveillance capacity differ internationally; some indicators are modeled or estimated rather than directly observed; time lags in reporting may affect recent years; methodology changes can impact trend comparisons; missing data are common for some countries and indicators; country-level aggregation may mask subnational disparities; cross-country comparisons should account for differences in definitions, data collection systems, and healthcare infrastructure publicly available who data repository aggregating information from member states and international monitoring systems; contains no individual-level identifiable information; no data use agreement or human subjects approval required; indicators are subject to who validation, harmonization, and estimation procedures; methodologies vary by indicator and should be reviewed before analysis; updates occur regularly as new country reports become available; users should document indicator definitions, data extraction dates, and estimation methods when conducting comparative analyses; citation of who and the specific indicator source is recommended</v>
      </c>
    </row>
    <row r="53" spans="1:36" ht="409.5" customHeight="1">
      <c r="A53" s="1" t="s">
        <v>884</v>
      </c>
      <c r="B53" s="1" t="s">
        <v>885</v>
      </c>
      <c r="C53" s="1" t="s">
        <v>886</v>
      </c>
      <c r="D53" s="4" t="s">
        <v>887</v>
      </c>
      <c r="E53" s="1" t="s">
        <v>888</v>
      </c>
      <c r="F53" s="1" t="s">
        <v>224</v>
      </c>
      <c r="G53" s="1" t="s">
        <v>224</v>
      </c>
      <c r="H53" s="1" t="s">
        <v>137</v>
      </c>
      <c r="I53" s="1" t="s">
        <v>873</v>
      </c>
      <c r="J53" s="1" t="s">
        <v>889</v>
      </c>
      <c r="K53" s="1" t="s">
        <v>890</v>
      </c>
      <c r="L53" s="1" t="s">
        <v>323</v>
      </c>
      <c r="M53" s="1" t="s">
        <v>891</v>
      </c>
      <c r="N53" s="1" t="s">
        <v>892</v>
      </c>
      <c r="O53" s="1" t="s">
        <v>197</v>
      </c>
      <c r="P53" s="1" t="s">
        <v>376</v>
      </c>
      <c r="Q53" s="1" t="s">
        <v>376</v>
      </c>
      <c r="R53" s="1" t="s">
        <v>52</v>
      </c>
      <c r="S53" s="1" t="s">
        <v>51</v>
      </c>
      <c r="T53" s="1" t="s">
        <v>51</v>
      </c>
      <c r="U53" s="1" t="s">
        <v>893</v>
      </c>
      <c r="V53" s="1" t="s">
        <v>894</v>
      </c>
      <c r="W53" s="1" t="s">
        <v>137</v>
      </c>
      <c r="X53" s="1" t="s">
        <v>137</v>
      </c>
      <c r="Y53" s="1" t="s">
        <v>895</v>
      </c>
      <c r="Z53" s="1" t="s">
        <v>896</v>
      </c>
      <c r="AA53" s="1" t="s">
        <v>897</v>
      </c>
      <c r="AB53" s="1" t="s">
        <v>898</v>
      </c>
      <c r="AC53" s="1" t="s">
        <v>899</v>
      </c>
      <c r="AD53" s="1"/>
      <c r="AE53" s="1" t="s">
        <v>60</v>
      </c>
      <c r="AF53" s="5">
        <v>46192</v>
      </c>
      <c r="AG53" s="1" t="s">
        <v>61</v>
      </c>
      <c r="AH53" s="1" t="s">
        <v>137</v>
      </c>
      <c r="AI53" s="1" t="s">
        <v>63</v>
      </c>
      <c r="AJ53" s="1" t="str">
        <f t="shared" si="1"/>
        <v>world bank open data world bank data (world bank open data) global development, population, health, economy, poverty, education indicators open/public open/public global health sdoh/geospatial; environmental exposure world bank indicators; international development; global health; economic indicators; poverty; population statistics; education; health expenditure; environment; country-level data geospatial/area-level global development; global health; population and demographics; poverty and inequality; economic development; education; environment and climate; social determinants of health; health systems and financing; sustainable development goals (sdgs) national populations, economies, and development systems worldwide global/international country country low population size; gdp per capita; poverty rates; life expectancy; mortality rates; health expenditure; education attainment; unemployment rate; fertility rate; co₂ emissions and environmental indicators cross-country comparisons; global health research; economic and social determinants of health analysis; development policy evaluation; population health trend analysis; sustainable development goals (sdg) monitoring; health systems financing research; poverty and inequality studies; environmental and climate-health research; international benchmarking and forecasting who global health observatory; ihme global burden of disease (gbd); oecd health statistics data quality and completeness vary across countries; indicator definitions and collection methods may differ between countries and over time; missing data are common for some countries and years; many indicators are modeled or estimated rather than directly measured; reporting lags can affect recent-year data availability; country-level aggregation masks within-country disparities; methodological revisions may affect trend analyses; causal inference is limited when using aggregate ecological data publicly available data compiled by the world bank from national statistical agencies and international organizations; contains no individual-level identifiable information; no data use agreement or human subjects approval required; most data are provided under the world bank open data terms of use; indicators undergo harmonization and quality review but remain subject to source-specific methodologies; users should document indicator definitions, data extraction dates, and version updates; citation of both the world bank and original data providers is recommended when applicable</v>
      </c>
    </row>
    <row r="54" spans="1:36" ht="409.5" customHeight="1">
      <c r="A54" s="1" t="s">
        <v>900</v>
      </c>
      <c r="B54" s="1" t="s">
        <v>901</v>
      </c>
      <c r="C54" s="1" t="s">
        <v>902</v>
      </c>
      <c r="D54" s="4" t="s">
        <v>903</v>
      </c>
      <c r="E54" s="1" t="s">
        <v>904</v>
      </c>
      <c r="F54" s="1" t="s">
        <v>905</v>
      </c>
      <c r="G54" s="1" t="s">
        <v>905</v>
      </c>
      <c r="H54" s="1" t="s">
        <v>137</v>
      </c>
      <c r="I54" s="1" t="s">
        <v>873</v>
      </c>
      <c r="J54" s="1" t="s">
        <v>906</v>
      </c>
      <c r="K54" s="1" t="s">
        <v>907</v>
      </c>
      <c r="L54" s="1" t="s">
        <v>92</v>
      </c>
      <c r="M54" s="1" t="s">
        <v>908</v>
      </c>
      <c r="N54" s="1" t="s">
        <v>909</v>
      </c>
      <c r="O54" s="1" t="s">
        <v>197</v>
      </c>
      <c r="P54" s="1" t="s">
        <v>376</v>
      </c>
      <c r="Q54" s="1" t="s">
        <v>376</v>
      </c>
      <c r="R54" s="1" t="s">
        <v>52</v>
      </c>
      <c r="S54" s="1" t="s">
        <v>51</v>
      </c>
      <c r="T54" s="1" t="s">
        <v>51</v>
      </c>
      <c r="U54" s="1" t="s">
        <v>910</v>
      </c>
      <c r="V54" s="1" t="s">
        <v>95</v>
      </c>
      <c r="W54" s="1" t="s">
        <v>137</v>
      </c>
      <c r="X54" s="1" t="s">
        <v>137</v>
      </c>
      <c r="Y54" s="1" t="s">
        <v>911</v>
      </c>
      <c r="Z54" s="1" t="s">
        <v>912</v>
      </c>
      <c r="AA54" s="1" t="s">
        <v>913</v>
      </c>
      <c r="AB54" s="1" t="s">
        <v>914</v>
      </c>
      <c r="AC54" s="1" t="s">
        <v>915</v>
      </c>
      <c r="AD54" s="1"/>
      <c r="AE54" s="1" t="s">
        <v>60</v>
      </c>
      <c r="AF54" s="5">
        <v>46192</v>
      </c>
      <c r="AG54" s="1" t="s">
        <v>61</v>
      </c>
      <c r="AH54" s="1" t="s">
        <v>137</v>
      </c>
      <c r="AI54" s="1" t="s">
        <v>63</v>
      </c>
      <c r="AJ54" s="1" t="str">
        <f t="shared" si="1"/>
        <v>ihme global burden of disease — gbd gbd results tool (health data) global, national, and subnational disease burden, mortality, risk factor estimates open/public with terms open/public with terms global health chronic disease; hiv/infectious disease; mental health global burden of disease; mortality; disability-adjusted life years (dalys); years of life lost (ylls); years lived with disability (ylds); risk factors; disease burden; health metrics; life expectancy; population health estimates registry/surveillance global health; disease burden; mortality and survival; noncommunicable diseases; infectious diseases; mental health; risk factor epidemiology; population health; health disparities; health metrics and outcomes research global populations represented through disease, injury, mortality, and risk-factor estimates global/international country country low mortality rates; life expectancy; disability-adjusted life years (dalys); years of life lost (ylls); years lived with disability (ylds); disease prevalence; disease incidence; risk factor exposure; attributable burden estimates; healthy life expectancy (hale) global disease burden assessment; cross-country health comparisons; population health trend analysis; risk factor attribution studies; health disparities research; health policy and planning; resource allocation and priority setting; monitoring sustainable development goals (sdgs); epidemiologic modeling; evaluation of health interventions and outcomes who global health observatory; world bank open data; oecd health statistics many estimates are modeled rather than directly observed; data quality varies substantially across countries and time periods; uncertainty intervals should be considered when interpreting results; methodology changes between gbd releases can affect trend comparisons; country-level estimates may mask subnational disparities; results depend on assumptions used in statistical modeling and data harmonization; estimates may differ from national surveillance statistics; causal inference is limited when using aggregated burden estimates publicly available data and estimates produced by the institute for health metrics and evaluation (ihme); contains no individual-level identifiable information; no data use agreement or human subjects approval required for accessing published estimates; estimates are generated through standardized modeling, data harmonization, and statistical adjustment procedures using multiple source datasets; methods, uncertainty intervals, and revisions are documented and updated with each gbd release; users should document the specific gbd version/year used because estimates may change between releases; citation of ihme and the relevant gbd study is required</v>
      </c>
    </row>
    <row r="55" spans="1:36" ht="409.5" customHeight="1">
      <c r="A55" s="1" t="s">
        <v>916</v>
      </c>
      <c r="B55" s="1" t="s">
        <v>917</v>
      </c>
      <c r="C55" s="1" t="s">
        <v>918</v>
      </c>
      <c r="D55" s="1" t="s">
        <v>919</v>
      </c>
      <c r="E55" s="1" t="s">
        <v>920</v>
      </c>
      <c r="F55" s="1" t="s">
        <v>224</v>
      </c>
      <c r="G55" s="1" t="s">
        <v>224</v>
      </c>
      <c r="H55" s="1" t="s">
        <v>137</v>
      </c>
      <c r="I55" s="1" t="s">
        <v>402</v>
      </c>
      <c r="J55" s="1" t="s">
        <v>921</v>
      </c>
      <c r="K55" s="1" t="s">
        <v>922</v>
      </c>
      <c r="L55" s="1" t="s">
        <v>290</v>
      </c>
      <c r="M55" s="1" t="s">
        <v>923</v>
      </c>
      <c r="N55" s="1" t="s">
        <v>924</v>
      </c>
      <c r="O55" s="1" t="s">
        <v>197</v>
      </c>
      <c r="P55" s="1" t="s">
        <v>376</v>
      </c>
      <c r="Q55" s="1" t="s">
        <v>376</v>
      </c>
      <c r="R55" s="1" t="s">
        <v>52</v>
      </c>
      <c r="S55" s="1" t="s">
        <v>51</v>
      </c>
      <c r="T55" s="1" t="s">
        <v>52</v>
      </c>
      <c r="U55" s="1" t="s">
        <v>925</v>
      </c>
      <c r="V55" s="1" t="s">
        <v>230</v>
      </c>
      <c r="W55" s="1" t="s">
        <v>62</v>
      </c>
      <c r="X55" s="1" t="s">
        <v>137</v>
      </c>
      <c r="Y55" s="1" t="s">
        <v>926</v>
      </c>
      <c r="Z55" s="1" t="s">
        <v>927</v>
      </c>
      <c r="AA55" s="1" t="s">
        <v>928</v>
      </c>
      <c r="AB55" s="1" t="s">
        <v>929</v>
      </c>
      <c r="AC55" s="1" t="s">
        <v>930</v>
      </c>
      <c r="AD55" s="1"/>
      <c r="AE55" s="1" t="s">
        <v>52</v>
      </c>
      <c r="AF55" s="5">
        <v>46191</v>
      </c>
      <c r="AG55" s="1" t="s">
        <v>117</v>
      </c>
      <c r="AH55" s="1" t="s">
        <v>137</v>
      </c>
      <c r="AI55" s="1" t="s">
        <v>63</v>
      </c>
      <c r="AJ55" s="1" t="str">
        <f t="shared" si="1"/>
        <v>oecd health statistics oecd health statistics (oecd) comparable health system, health spending, utilization, outcomes across oecd countries open/public open/public health care utilization/cost health systems; international comparisons; health expenditure; health care utilization; health workforce; health care quality; health coverage; long-term care; risk factors; pharmaceutical market global; international; oecd; country; health systems; health expenditure; financing; utilization; quality; workforce; life expectancy; mortality; health coverage; long-term care; risk factors; tobacco; alcohol; obesity; pharmaceutical; comparative health statistics reports/dashboard health systems; health expenditure and financing; health status; health care resources; health care utilization; health care quality; pharmaceutical market; health coverage; long-term care; risk factors populations of oecd member and partner countries represented through national health and health system indicators global/international country country low life expectancy; mortality; morbidity; health expenditure; health financing; health care utilization; hospital beds; physicians; nurses; health workforce; health care quality indicators; pharmaceutical consumption and sales; health insurance coverage; long-term care indicators; tobacco use; alcohol use; obesity; country; year international health system comparisons; cross-country health expenditure analyses; health care utilization and quality benchmarking; population health trend analyses; health workforce comparisons; pharmaceutical market comparisons; health policy evaluation; global comparative health research who global health observatory; world bank open data; ihme global burden of disease; eurostat; un population division country-level aggregate data only; definitions, reporting practices, and availability vary by country and indicator; not suitable for south carolina-specific or individual-level analyses; cross-country comparisons require careful review of oecd metadata and source notes. open/public oecd data source; verify indicator definitions, country coverage, metadata, update date, citation guidance, and oecd terms of use before analysis</v>
      </c>
    </row>
    <row r="56" spans="1:36" ht="219.75" customHeight="1">
      <c r="A56" s="1" t="s">
        <v>931</v>
      </c>
      <c r="B56" s="1" t="s">
        <v>932</v>
      </c>
      <c r="C56" s="1" t="s">
        <v>933</v>
      </c>
      <c r="D56" s="1" t="s">
        <v>934</v>
      </c>
      <c r="E56" s="1" t="s">
        <v>935</v>
      </c>
      <c r="F56" s="1" t="s">
        <v>936</v>
      </c>
      <c r="G56" s="1" t="s">
        <v>160</v>
      </c>
      <c r="H56" s="1" t="s">
        <v>62</v>
      </c>
      <c r="I56" s="1" t="s">
        <v>937</v>
      </c>
      <c r="J56" s="1" t="s">
        <v>938</v>
      </c>
      <c r="K56" s="1" t="s">
        <v>939</v>
      </c>
      <c r="L56" s="1" t="s">
        <v>290</v>
      </c>
      <c r="M56" s="1" t="s">
        <v>940</v>
      </c>
      <c r="N56" s="1" t="s">
        <v>941</v>
      </c>
      <c r="O56" s="1" t="s">
        <v>942</v>
      </c>
      <c r="P56" s="1" t="s">
        <v>616</v>
      </c>
      <c r="Q56" s="1" t="s">
        <v>294</v>
      </c>
      <c r="R56" s="1" t="s">
        <v>943</v>
      </c>
      <c r="S56" s="1" t="s">
        <v>51</v>
      </c>
      <c r="T56" s="1" t="s">
        <v>51</v>
      </c>
      <c r="U56" s="1" t="s">
        <v>944</v>
      </c>
      <c r="V56" s="1" t="s">
        <v>944</v>
      </c>
      <c r="W56" s="1" t="s">
        <v>62</v>
      </c>
      <c r="X56" s="1" t="s">
        <v>42</v>
      </c>
      <c r="Y56" s="1" t="s">
        <v>945</v>
      </c>
      <c r="Z56" s="1" t="s">
        <v>946</v>
      </c>
      <c r="AA56" s="1" t="s">
        <v>947</v>
      </c>
      <c r="AB56" s="1" t="s">
        <v>948</v>
      </c>
      <c r="AC56" s="1" t="s">
        <v>949</v>
      </c>
      <c r="AD56" s="1"/>
      <c r="AE56" s="1" t="s">
        <v>51</v>
      </c>
      <c r="AF56" s="5">
        <v>46190</v>
      </c>
      <c r="AG56" s="1" t="s">
        <v>117</v>
      </c>
      <c r="AH56" s="1" t="s">
        <v>42</v>
      </c>
      <c r="AI56" s="1" t="s">
        <v>63</v>
      </c>
      <c r="AJ56" s="1" t="str">
        <f t="shared" si="1"/>
        <v>south carolina dph public health data sc dph public health data (scdph) south carolina public health dashboards, reports, brfss, cancer registry, hiv/std, overdose, vital statistics resources open/public plus restricted components public-use plus restricted files south carolina/local data public health surveillance; south carolina/local data; chronic disease; infectious disease; environmental health; cancer; respiratory disease; maternal/child health; opioids; drug overdose; vital statistics; dashboards; reports south carolina; sc; dph; public health; surveillance; dashboards; reports; chronic disease; infectious disease; cancer; opioid; overdose; respiratory disease; covid-19; flu; rsv; environmental health; vital statistics; births; deaths; county reports/dashboard south carolina public health; chronic disease; infectious disease; environmental health; cancer; opioid and drug trends; maternal and child health; vital statistics; respiratory disease; injury and mortality south carolina residents represented in public health reports, dashboards, surveillance systems, and vital statistics south carolina county/zip code report/dashboard high public health indicators; county-level health measures; disease surveillance measures; birth and death statistics; mortality indicators; drug overdose indicators; opioid/benzodiazepine/stimulant trends; cancer indicators; respiratory disease indicators; environmental health indicators; maternal and child health measures; vital statistics; reporting period; geography variables south carolina public health surveillance; county-level health profiles; opioid and overdose trend monitoring; chronic disease and respiratory disease tracking; cancer and mortality reporting; environmental health analyses; maternal and child health monitoring; local health planning and dashboard-based reporting scandhec/scan; sc vital statistics; south carolina cancer registry; sc rfa health statistics; cdc places; brfss; cdc wonder; acs; county health rankings; cdc/atsdr svi public outputs are generally aggregated and may suppress small cells; restricted individual-level or confidential data require formal application, review, irb approval, and possible fees; availability and access rules vary by topic/program. open/public dashboards and reports available; restricted/confidential data require scccr research data request application, supporting documents, ccacss review, dph irb review, and possible fees; confidential fields may include patient, physician, facility, location, and detailed date information.</v>
      </c>
    </row>
    <row r="57" spans="1:36" ht="409.5" customHeight="1">
      <c r="A57" s="1" t="s">
        <v>950</v>
      </c>
      <c r="B57" s="1" t="s">
        <v>951</v>
      </c>
      <c r="C57" s="1" t="s">
        <v>952</v>
      </c>
      <c r="D57" s="1" t="s">
        <v>953</v>
      </c>
      <c r="E57" s="1" t="s">
        <v>954</v>
      </c>
      <c r="F57" s="1" t="s">
        <v>224</v>
      </c>
      <c r="G57" s="1" t="s">
        <v>455</v>
      </c>
      <c r="H57" s="1" t="s">
        <v>137</v>
      </c>
      <c r="I57" s="1" t="s">
        <v>937</v>
      </c>
      <c r="J57" s="1" t="s">
        <v>955</v>
      </c>
      <c r="K57" s="1" t="s">
        <v>956</v>
      </c>
      <c r="L57" s="1" t="s">
        <v>290</v>
      </c>
      <c r="M57" s="1" t="s">
        <v>957</v>
      </c>
      <c r="N57" s="1" t="s">
        <v>958</v>
      </c>
      <c r="O57" s="1" t="s">
        <v>942</v>
      </c>
      <c r="P57" s="1" t="s">
        <v>600</v>
      </c>
      <c r="Q57" s="1" t="s">
        <v>600</v>
      </c>
      <c r="R57" s="1" t="s">
        <v>52</v>
      </c>
      <c r="S57" s="1" t="s">
        <v>51</v>
      </c>
      <c r="T57" s="1" t="s">
        <v>52</v>
      </c>
      <c r="U57" s="1" t="s">
        <v>959</v>
      </c>
      <c r="V57" s="1" t="s">
        <v>310</v>
      </c>
      <c r="W57" s="1" t="s">
        <v>62</v>
      </c>
      <c r="X57" s="1" t="s">
        <v>42</v>
      </c>
      <c r="Y57" s="1" t="s">
        <v>960</v>
      </c>
      <c r="Z57" s="1" t="s">
        <v>961</v>
      </c>
      <c r="AA57" s="1" t="s">
        <v>962</v>
      </c>
      <c r="AB57" s="1" t="s">
        <v>963</v>
      </c>
      <c r="AC57" s="1" t="s">
        <v>964</v>
      </c>
      <c r="AD57" s="1"/>
      <c r="AE57" s="1" t="s">
        <v>51</v>
      </c>
      <c r="AF57" s="5">
        <v>46190</v>
      </c>
      <c r="AG57" s="1" t="s">
        <v>117</v>
      </c>
      <c r="AH57" s="1" t="s">
        <v>42</v>
      </c>
      <c r="AI57" s="1" t="s">
        <v>63</v>
      </c>
      <c r="AJ57" s="1" t="str">
        <f t="shared" si="1"/>
        <v>scandhec / sc public health tables scandhec (dhec applications) user-specified south carolina public health tables and maps, including births and other state health datasets open/public open plus controlled data south carolina/local data vital statistics; births; deaths; pregnancy; population; maternal/child health; mortality; cancer; brfss; public health surveillance; community health; interactive maps; public health tables south carolina; sc; dhec; dph; scan; public health; vital statistics; births; deaths; pregnancy; mortality; cancer; brfss; population; county; zip code; tables; maps; community health; health indicators reports/dashboard south carolina public health; vital statistics; births; deaths; pregnancy; mortality; cancer incidence and mortality; population; community health indicators; health behavior data south carolina residents represented in public health, vital statistics, population, and selected health indicator tables south carolina zip/zcta zip/zcta high birth counts; death counts; population counts; pregnancy-related measures; maternal characteristics; infant characteristics; mortality indicators; cancer incidence and mortality where available; brfss/community health indicators where available; county, region, zip code, year, age, race/ethnicity, sex, and selected public health indicators south carolina public health surveillance; county and zip-level vital statistics analyses; maternal and child health monitoring; mortality trend analyses; community health assessment; local health planning; public health mapping and dashboard exploration sc dph public health data; sc vital statistics; south carolina cancer registry; brfss; acs; cdc places; cdc wonder; county health rankings interactive table/map system rather than a clean bulk-download research dataset; dataset availability, years, variables, and geographies vary by module; some datasets may be disabled or unavailable; website is a little old and may be unpredictable in terms of usability open/public interactive query system with confidentiality rules applied; users can generate tables, charts, maps, and downloadable/copyable outputs; password-protected access exists for users authorized to access data without confidentiality rules.</v>
      </c>
    </row>
    <row r="58" spans="1:36" ht="409.5" customHeight="1">
      <c r="A58" s="1" t="s">
        <v>965</v>
      </c>
      <c r="B58" s="1" t="s">
        <v>966</v>
      </c>
      <c r="C58" s="1" t="s">
        <v>967</v>
      </c>
      <c r="D58" s="1" t="s">
        <v>968</v>
      </c>
      <c r="E58" s="1" t="s">
        <v>969</v>
      </c>
      <c r="F58" s="1" t="s">
        <v>224</v>
      </c>
      <c r="G58" s="1" t="s">
        <v>455</v>
      </c>
      <c r="H58" s="1" t="s">
        <v>42</v>
      </c>
      <c r="I58" s="1" t="s">
        <v>436</v>
      </c>
      <c r="J58" s="1" t="s">
        <v>970</v>
      </c>
      <c r="K58" s="1" t="s">
        <v>971</v>
      </c>
      <c r="L58" s="1" t="s">
        <v>290</v>
      </c>
      <c r="M58" s="1" t="s">
        <v>972</v>
      </c>
      <c r="N58" s="1" t="s">
        <v>973</v>
      </c>
      <c r="O58" s="1" t="s">
        <v>942</v>
      </c>
      <c r="P58" s="1" t="s">
        <v>259</v>
      </c>
      <c r="Q58" s="1" t="s">
        <v>294</v>
      </c>
      <c r="R58" s="1" t="s">
        <v>974</v>
      </c>
      <c r="S58" s="1" t="s">
        <v>51</v>
      </c>
      <c r="T58" s="1" t="s">
        <v>129</v>
      </c>
      <c r="U58" s="1" t="s">
        <v>975</v>
      </c>
      <c r="V58" s="1" t="s">
        <v>976</v>
      </c>
      <c r="W58" s="1" t="s">
        <v>137</v>
      </c>
      <c r="X58" s="1" t="s">
        <v>42</v>
      </c>
      <c r="Y58" s="1" t="s">
        <v>977</v>
      </c>
      <c r="Z58" s="1" t="s">
        <v>978</v>
      </c>
      <c r="AA58" s="1" t="s">
        <v>979</v>
      </c>
      <c r="AB58" s="1"/>
      <c r="AC58" s="1" t="s">
        <v>980</v>
      </c>
      <c r="AD58" s="1" t="s">
        <v>981</v>
      </c>
      <c r="AE58" s="1" t="s">
        <v>52</v>
      </c>
      <c r="AF58" s="5">
        <v>46190</v>
      </c>
      <c r="AG58" s="1" t="s">
        <v>117</v>
      </c>
      <c r="AH58" s="1" t="s">
        <v>137</v>
      </c>
      <c r="AI58" s="1" t="s">
        <v>982</v>
      </c>
      <c r="AJ58" s="1" t="str">
        <f t="shared" si="1"/>
        <v>scdhhs reports and statistics scdhhs data &amp; reports (scdhhs) south carolina medicaid enrollment and program reports open/public open plus controlled data claims/payment/provider south carolina/local data; medicaid; chip; healthy connections; enrollment; eligibility; managed care; providers; health care utilization; reports; dashboards; transparency south carolina; sc; scdhhs; medicaid; healthy connections; chip; enrollment; eligibility; managed care; providers; utilization; reports; statistics; dashboard; transparency; beneficiaries; health coverage reports/dashboard south carolina medicaid; healthy connections medicaid; medicaid enrollment; eligibility reviews; managed care; provider reporting; health care coverage; health care utilization; transparency reporting south carolina medicaid, chip, and healthy connections members, applicants, providers, and contracted organizations south carolina state report/dashboard high medicaid enrollment; eligibility review measures; member counts; healthy connections medicaid measures; chip-related measures; managed care information; provider-related measures; contracted organization reports; dashboard indicators; reporting period; south carolina statewide statistics south carolina medicaid enrollment monitoring; medicaid eligibility review tracking; health coverage transparency; state medicaid program reporting; managed care and provider reporting; local health policy context; dashboard-based public reporting scdhhs medicaid data requests; sc rfa health statistics and demographics; schealthdata.org; cms data; acs; cdc places; county health rankings open/public reports and dashboards; formal medicaid data requests may be required for nonpublic or person-level data; verify documentation, citation guidance, reporting period, and privacy/suppression rules. not ideally structured as a downloadable research data portal; no clear centralized page for bulk data or report downloads; public content appears more useful for identifying scdhhs reports, agencies, policy updates, and state medicaid/healthcare resources than for direct analysis; granular medicaid data may require formal request pathways.</v>
      </c>
    </row>
    <row r="59" spans="1:36" ht="134.25" customHeight="1">
      <c r="A59" s="1" t="s">
        <v>983</v>
      </c>
      <c r="B59" s="1" t="s">
        <v>984</v>
      </c>
      <c r="C59" s="1" t="s">
        <v>985</v>
      </c>
      <c r="D59" s="1" t="s">
        <v>986</v>
      </c>
      <c r="E59" s="1" t="s">
        <v>987</v>
      </c>
      <c r="F59" s="1" t="s">
        <v>224</v>
      </c>
      <c r="G59" s="1" t="s">
        <v>129</v>
      </c>
      <c r="H59" s="1" t="s">
        <v>42</v>
      </c>
      <c r="I59" s="1" t="s">
        <v>436</v>
      </c>
      <c r="J59" s="1" t="s">
        <v>988</v>
      </c>
      <c r="K59" s="1" t="s">
        <v>989</v>
      </c>
      <c r="L59" s="1" t="s">
        <v>49</v>
      </c>
      <c r="M59" s="1" t="s">
        <v>990</v>
      </c>
      <c r="N59" s="1" t="s">
        <v>991</v>
      </c>
      <c r="O59" s="1" t="s">
        <v>942</v>
      </c>
      <c r="P59" s="1" t="s">
        <v>815</v>
      </c>
      <c r="Q59" s="1" t="s">
        <v>815</v>
      </c>
      <c r="R59" s="1" t="s">
        <v>52</v>
      </c>
      <c r="S59" s="1" t="s">
        <v>51</v>
      </c>
      <c r="T59" s="1" t="s">
        <v>129</v>
      </c>
      <c r="U59" s="1" t="s">
        <v>992</v>
      </c>
      <c r="V59" s="1" t="s">
        <v>993</v>
      </c>
      <c r="W59" s="1" t="s">
        <v>129</v>
      </c>
      <c r="X59" s="1" t="s">
        <v>42</v>
      </c>
      <c r="Y59" s="1" t="s">
        <v>994</v>
      </c>
      <c r="Z59" s="7" t="s">
        <v>995</v>
      </c>
      <c r="AA59" s="1" t="s">
        <v>996</v>
      </c>
      <c r="AB59" s="1" t="s">
        <v>997</v>
      </c>
      <c r="AC59" s="1" t="s">
        <v>998</v>
      </c>
      <c r="AD59" s="1"/>
      <c r="AE59" s="1" t="s">
        <v>52</v>
      </c>
      <c r="AF59" s="5">
        <v>46190</v>
      </c>
      <c r="AG59" s="1" t="s">
        <v>117</v>
      </c>
      <c r="AH59" s="1" t="s">
        <v>137</v>
      </c>
      <c r="AI59" s="1" t="s">
        <v>982</v>
      </c>
      <c r="AJ59" s="1" t="str">
        <f t="shared" si="1"/>
        <v>sc health data schealthdata.org (schealthdata.org) south carolina hospitals, fqhcs, nursing homes, health care provider transparency data open/public unknown claims/payment/provider south carolina/local data; medicaid; health care providers; hospitals; fqhcs; nursing homes; provider transparency; health care utilization; financial measures south carolina; sc; medicaid; healthy connections; providers; hospitals; fqhc; nursing homes; profitability; patient visits; provider pay; transparency; scdhhs; health care data; utilization; local health data other south carolina health care providers; medicaid; hospitals; fqhcs; nursing homes; provider transparency; health care utilization; financial performance; patient visits; executive compensation south carolina health care providers, including hospitals, fqhcs, and nursing homes south carolina facility/provider facility/provider high provider type; hospital measures; fqhc measures; nursing home measures; patient visits; profitability; financial indicators; staff compensation; medicaid-related provider information; facility/provider characteristics; south carolina provider transparency measures south carolina health care provider transparency; hospital, fqhc, and nursing home comparisons; medicaid provider landscape analyses; patient visit and utilization summaries; financial performance analyses; local health care access and provider capacity research scdhhs medicaid data; sc hospital discharge data; cms care compare; acs; county health rankings; cdc places no clear bulk data download portal found; provider-focused transparency information may vary by source and provider type; verify available datasets, measure definitions, and reporting years before analysis. open/public provider transparency source maintained by scdhhs; verify source documentation, reporting year, partner agency attribution, and citation guidance.</v>
      </c>
    </row>
    <row r="60" spans="1:36" ht="42.75" customHeight="1">
      <c r="A60" s="1" t="s">
        <v>999</v>
      </c>
      <c r="B60" s="1" t="s">
        <v>1000</v>
      </c>
      <c r="C60" s="14" t="s">
        <v>1632</v>
      </c>
      <c r="D60" s="14" t="s">
        <v>1631</v>
      </c>
      <c r="E60" t="s">
        <v>1633</v>
      </c>
      <c r="F60" s="1" t="s">
        <v>224</v>
      </c>
      <c r="G60" t="s">
        <v>1634</v>
      </c>
      <c r="H60" s="1" t="s">
        <v>137</v>
      </c>
      <c r="I60" s="1" t="s">
        <v>1635</v>
      </c>
      <c r="J60" t="s">
        <v>1636</v>
      </c>
      <c r="K60" t="s">
        <v>1637</v>
      </c>
      <c r="L60" t="s">
        <v>795</v>
      </c>
      <c r="M60" t="s">
        <v>1638</v>
      </c>
      <c r="N60" t="s">
        <v>1639</v>
      </c>
      <c r="O60" s="1" t="s">
        <v>48</v>
      </c>
      <c r="P60" t="s">
        <v>1640</v>
      </c>
      <c r="Q60" t="s">
        <v>327</v>
      </c>
      <c r="R60" s="1" t="s">
        <v>52</v>
      </c>
      <c r="S60" s="1" t="s">
        <v>51</v>
      </c>
      <c r="T60" s="1" t="s">
        <v>51</v>
      </c>
      <c r="U60" s="1" t="s">
        <v>1641</v>
      </c>
      <c r="V60" t="s">
        <v>1642</v>
      </c>
      <c r="W60" s="1" t="s">
        <v>42</v>
      </c>
      <c r="X60" s="1" t="s">
        <v>42</v>
      </c>
      <c r="Y60" t="s">
        <v>1643</v>
      </c>
      <c r="Z60" t="s">
        <v>1644</v>
      </c>
      <c r="AA60" t="s">
        <v>1645</v>
      </c>
      <c r="AB60" t="s">
        <v>1646</v>
      </c>
      <c r="AC60" s="1"/>
      <c r="AD60" s="1"/>
      <c r="AE60" s="1"/>
      <c r="AF60" s="5"/>
      <c r="AG60" s="1"/>
      <c r="AH60" s="1"/>
      <c r="AI60" s="1"/>
      <c r="AJ60" s="1" t="str">
        <f t="shared" si="1"/>
        <v>daily census tract-level pm2.5 concentrations, 2016-2020 cdc daily census tract-level pm2.5 data usedaily census tract-level predictions of outdoor fine particulate matter concentrations from epa’s downscaler model, distributed by cdc’s national environmental public health tracking network for 2016–2020. includes estimated 24-hour average pm2.5 concentrations and associated standard errors. supports geographic exposure assessment, air-pollution trend analysis, and linkage with separately obtained health and demographic data. open/public standardizedopen/public with terms envionmental exposure sdoh/geospatial; air quality; environmental health; ambient air pollution; exposure assessment; environmental epidemiology; time-series data daily census tract-level pm2.5 concentrations; cdc; national environmental public health tracking network; epa downscaler; fine particulate matter; pm2.5; pm 2.5; particulate pollution; outdoor air pollution; ambient air quality; daily air pollution; 24-hour average concentration; modeled exposure; predicted concentration; prediction uncertainty; standard error; bayesian downscaling; community multiscale air quality; cmaq; census tract; tract fips; geographic exposure linkage; air pollution time series; short-term exposure; long-term exposure; environmental disparities; south carolina environmental ambient air quality; fine particulate matter; environmental exposure assessment; environmental epidemiology; geographic exposure disparities; air pollution and health environmental predictions for census tract locations across the contiguous united states, representing outdoor air-quality conditions relevant to residents of those areas. no individual participants, patient records, or personal exposure measurements are included. united states census tract; includes state, county, and census tract fips codes and fields labeled as tract-centroid coordinates. verify geographic vintage and coordinate accuracy before linkage. census tract high prediction year; prediction date; state fips code; county fips code; census tract fips code; tract-centroid latitude and longitude fields; mean estimated 24-hour average pm2.5 concentration in µg/m³; standard error of the estimated concentration map daily and seasonal pm2.5 patterns in south carolina; calculate tract-level exposure summaries for defined study periods; compare pollution burdens across communities after geographic harmonization; link daily pollution estimates with separately obtained emergency visits or hospitalizations; construct lagged exposure measures for environmental epidemiology; assess sensitivity of findings to prediction uncertainty epa air quality system; epa downscaler annual technical reports and output files; u.s. census bureau american community survey; u.s. census bureau tiger/line geographic boundaries and tract relationship files; cdc/atsdr social vulnerability index; noaa weather and climate data concentrations are model predictions rather than direct measurements in every tract or personal exposure estimates. tract-centroid predictions may miss within-tract variation. the dataset contains no health outcomes or individual demographic records. verify tract boundary vintages and coverage across years before constructing a panel. coordinate metadata show unusual ranges that warrant validation before mapping. account for prediction uncertainty and temporal correlation; this release ends in 2020.</v>
      </c>
    </row>
    <row r="61" spans="1:36" ht="111" customHeight="1">
      <c r="A61" s="1" t="s">
        <v>1003</v>
      </c>
      <c r="B61" s="9" t="s">
        <v>1004</v>
      </c>
      <c r="C61" s="3" t="s">
        <v>1005</v>
      </c>
      <c r="D61" s="14" t="s">
        <v>1630</v>
      </c>
      <c r="E61" s="9" t="s">
        <v>1006</v>
      </c>
      <c r="F61" s="1" t="s">
        <v>224</v>
      </c>
      <c r="G61" s="3" t="s">
        <v>224</v>
      </c>
      <c r="H61" s="3" t="s">
        <v>137</v>
      </c>
      <c r="I61" s="3" t="s">
        <v>810</v>
      </c>
      <c r="J61" s="1" t="s">
        <v>1007</v>
      </c>
      <c r="K61" s="1" t="s">
        <v>1008</v>
      </c>
      <c r="L61" s="3" t="s">
        <v>795</v>
      </c>
      <c r="M61" s="1" t="s">
        <v>1009</v>
      </c>
      <c r="N61" s="1" t="s">
        <v>1010</v>
      </c>
      <c r="O61" s="3" t="s">
        <v>48</v>
      </c>
      <c r="P61" s="3" t="s">
        <v>293</v>
      </c>
      <c r="Q61" s="3" t="s">
        <v>293</v>
      </c>
      <c r="R61" s="3" t="s">
        <v>52</v>
      </c>
      <c r="S61" s="3" t="s">
        <v>51</v>
      </c>
      <c r="T61" s="3" t="s">
        <v>51</v>
      </c>
      <c r="U61" s="1" t="s">
        <v>1011</v>
      </c>
      <c r="V61" s="1" t="s">
        <v>1012</v>
      </c>
      <c r="W61" s="3" t="s">
        <v>42</v>
      </c>
      <c r="X61" s="3" t="s">
        <v>42</v>
      </c>
      <c r="Y61" s="1" t="s">
        <v>1013</v>
      </c>
      <c r="Z61" s="1" t="s">
        <v>1014</v>
      </c>
      <c r="AA61" s="1" t="s">
        <v>1015</v>
      </c>
      <c r="AB61" s="1" t="s">
        <v>1016</v>
      </c>
      <c r="AC61" s="1" t="s">
        <v>1017</v>
      </c>
      <c r="AD61" s="1"/>
      <c r="AE61" s="3" t="s">
        <v>60</v>
      </c>
      <c r="AF61" s="10">
        <v>46223</v>
      </c>
      <c r="AG61" s="3" t="s">
        <v>117</v>
      </c>
      <c r="AH61" s="3" t="s">
        <v>62</v>
      </c>
      <c r="AI61" s="3" t="s">
        <v>63</v>
      </c>
      <c r="AJ61" s="1" t="str">
        <f t="shared" si="1"/>
        <v>cdc wonder environmental data cdc / github environmental data query system with place, time, and measure dimensions. open/public open/public environmental exposure sdoh/geospatial; climate; air quality; environmental monitoring; area-level data; historical data cdc wonder; environmental data; environmental exposure; climate; air temperature; heat index; extreme heat; heat waves; pm2.5; fine particulate matter; air pollution; land surface temperature; lst; modis; sunlight; solar irradiation; insolation; precipitation; rainfall; nldas; nasa; county-level; environmental health environmental air temperature; heat index; extreme heat; heat waves; pm2.5; outdoor air quality; land surface temperature; sunlight; solar irradiation; precipitation residents of the 48 contiguous united states, represented through county-level environmental exposure measures united states county county high daily air temperature; minimum and maximum temperature; heat index; degree days; pm2.5 concentration; land surface temperature; sunlight/solar irradiation; precipitation; heat-wave days; date; state; county; number of observations; range; standard deviation assess county-level environmental exposures; analyze heat and air-quality trends; examine associations between environmental conditions and health outcomes; identify high-exposure periods or locations; support climate and environmental health research; link county-level exposures with mortality, morbidity, hospitalization, or demographic data cdc wonder mortality and natality data; cdc environmental public health tracking network; epa air quality system/airdata; epa enviroatlas; noaa climate data; u.s. census population estimates; american community survey; cdc/atsdr social vulnerability index historical data only, with coverage ending between 2008 and 2011 depending on the dataset; excludes alaska, hawaii, and most u.s. territories; measures are modeled or geographically aggregated estimates rather than individual exposures; county averages may obscure within-county variation; source resolution and methods differ across datasets; some measures have missing or sparse observations; pm2.5 values above 65 µg/m³ are truncated in the wonder dataset; geographic coding may use older county/fips definitions. public aggregate data for statistical reporting and analysis; users must accept cdc wonder data-use restrictions; do not attempt to identify individuals or link data for re-identification; cite the relevant source dataset and methodology when publishing results.</v>
      </c>
    </row>
    <row r="62" spans="1:36" ht="57" customHeight="1">
      <c r="A62" s="1" t="s">
        <v>1018</v>
      </c>
      <c r="B62" s="8" t="s">
        <v>1019</v>
      </c>
      <c r="C62" s="3" t="s">
        <v>1020</v>
      </c>
      <c r="D62" s="14" t="s">
        <v>1629</v>
      </c>
      <c r="E62" s="1" t="s">
        <v>1021</v>
      </c>
      <c r="F62" s="3" t="s">
        <v>1022</v>
      </c>
      <c r="G62" s="3" t="s">
        <v>224</v>
      </c>
      <c r="H62" s="3" t="s">
        <v>137</v>
      </c>
      <c r="I62" s="3" t="s">
        <v>810</v>
      </c>
      <c r="J62" t="s">
        <v>1023</v>
      </c>
      <c r="K62" t="s">
        <v>1024</v>
      </c>
      <c r="L62" t="s">
        <v>290</v>
      </c>
      <c r="M62" t="s">
        <v>1025</v>
      </c>
      <c r="N62" t="s">
        <v>1026</v>
      </c>
      <c r="O62" s="3" t="s">
        <v>48</v>
      </c>
      <c r="P62" s="3" t="s">
        <v>1027</v>
      </c>
      <c r="Q62" s="3" t="s">
        <v>293</v>
      </c>
      <c r="R62" s="3" t="s">
        <v>52</v>
      </c>
      <c r="S62" s="3" t="s">
        <v>51</v>
      </c>
      <c r="T62" s="3" t="s">
        <v>51</v>
      </c>
      <c r="U62" s="1" t="s">
        <v>1028</v>
      </c>
      <c r="V62" s="3" t="s">
        <v>1029</v>
      </c>
      <c r="W62" s="3" t="s">
        <v>42</v>
      </c>
      <c r="X62" s="3" t="s">
        <v>42</v>
      </c>
      <c r="Y62" s="3" t="s">
        <v>1030</v>
      </c>
      <c r="Z62" s="3" t="s">
        <v>1031</v>
      </c>
      <c r="AA62" s="3" t="s">
        <v>1032</v>
      </c>
      <c r="AB62" s="3" t="s">
        <v>1033</v>
      </c>
      <c r="AC62" s="3" t="s">
        <v>1034</v>
      </c>
      <c r="AD62" s="3"/>
      <c r="AE62" s="3" t="s">
        <v>51</v>
      </c>
      <c r="AF62" s="10">
        <v>46223</v>
      </c>
      <c r="AG62" s="3" t="s">
        <v>117</v>
      </c>
      <c r="AH62" s="3" t="s">
        <v>42</v>
      </c>
      <c r="AI62" s="3" t="s">
        <v>63</v>
      </c>
      <c r="AJ62" s="3" t="str">
        <f t="shared" si="1"/>
        <v>cdc heat and health tracker cdc tracking network interactive dashboard integrating local heat exposure, heat-related health outcomes, community vulnerability, and preparedness information to support extreme-heat surveillance, planning, and response. public interactive dashboard; related tracking network data may also be accessed through maps, tables, quick reports, downloads, and api services. open/public environmental exposure climate; extreme heat; heat-related illness; sdoh/geospatial; emergency preparedness; environmental health surveillance; community vulnerability; area-level data cdc heat and health tracker; extreme heat; heat exposure; heat wave; heatrisk; heat-related illness; hri; heat stress; emergency department visits; hospitalizations; heat-related mortality; temperature; heat index; climate projections; heat vulnerability; community preparedness; cooling resources; county; zip code; nssp; national weather service; heat and health index reports/dashboard extreme heat; heat exposure; temperature; heat index; heatrisk forecasts; heat-related emergency department visits; heat-related hospitalizations; heat-related mortality; heat vulnerability; climate projections; community preparedness residents of the united states, including populations vulnerable to heat-related health effects such as older adults, young children, pregnant people, outdoor workers, athletes, and people with chronic health conditions. united states county/zip code/hhs region, depending on indicator county high daily heat-related illness ed visit rate per 100,000 ed visits; heat-related ed visits; hospitalizations; heat-related deaths; maximum and minimum temperature; heat index; extremely hot days; extreme heat events; heatrisk category; projected daytime and nighttime temperatures; heat and health index; community vulnerability and preparedness measures; county; zip code; hhs region; date monitor current heat-related illness; identify counties and communities at elevated heat risk; compare heat exposure and health outcomes over time; assess vulnerable populations; guide heat action plans and public messaging; prioritize cooling and preparedness resources; examine associations between extreme heat and emergency health-care use; support climate adaptation planning cdc environmental public health tracking network; national syndromic surveillance program; national weather service heatrisk; cdc heat and health index; cdc/atsdr social vulnerability index; noaa climate data; american community survey; cdc wonder mortality data; epa airnow the dashboard combines indicators from multiple sources, geographic levels, time periods, and update schedules. daily heat-related illness ed data are reported by hhs region rather than county and are based on participating national syndromic surveillance program facilities. rates may be affected by changing facility participation, health-care-seeking behavior, coding practices, and incomplete documentation of heat exposure. hospital and mortality data may undercount heat-related outcomes when heat is not recorded as a diagnosis or cause of death. modeled exposure and projection measures are not individual exposure estimates. vulnerability indices are intended for area-level planning and should not be interpreted as individual risk. public aggregate dashboard data. no identifiable patient-level data are displayed. users should follow cdc tracking network terms, cite the specific indicator and originating data source, and avoid interpreting area-level measures as individual-level characteristics. underlying restricted syndromic or health-record data are not directly available through this dashboard.</v>
      </c>
    </row>
    <row r="63" spans="1:36" ht="71.25" customHeight="1">
      <c r="A63" s="1" t="s">
        <v>1035</v>
      </c>
      <c r="B63" s="9" t="s">
        <v>1036</v>
      </c>
      <c r="C63" s="3" t="s">
        <v>284</v>
      </c>
      <c r="D63" s="13" t="s">
        <v>1037</v>
      </c>
      <c r="E63" s="1" t="s">
        <v>1038</v>
      </c>
      <c r="F63" s="3" t="s">
        <v>1039</v>
      </c>
      <c r="G63" s="3" t="s">
        <v>224</v>
      </c>
      <c r="H63" s="3" t="s">
        <v>137</v>
      </c>
      <c r="I63" s="3" t="s">
        <v>339</v>
      </c>
      <c r="J63" s="3" t="s">
        <v>1040</v>
      </c>
      <c r="K63" s="3" t="s">
        <v>1041</v>
      </c>
      <c r="L63" s="3" t="s">
        <v>323</v>
      </c>
      <c r="M63" s="3" t="s">
        <v>1042</v>
      </c>
      <c r="N63" s="3" t="s">
        <v>1043</v>
      </c>
      <c r="O63" s="3" t="s">
        <v>48</v>
      </c>
      <c r="P63" s="3" t="s">
        <v>326</v>
      </c>
      <c r="Q63" s="3" t="s">
        <v>327</v>
      </c>
      <c r="R63" s="3" t="s">
        <v>52</v>
      </c>
      <c r="S63" s="3" t="s">
        <v>51</v>
      </c>
      <c r="T63" s="3" t="s">
        <v>52</v>
      </c>
      <c r="U63" s="1" t="s">
        <v>1044</v>
      </c>
      <c r="V63" s="3" t="s">
        <v>1045</v>
      </c>
      <c r="W63" s="3" t="s">
        <v>42</v>
      </c>
      <c r="X63" s="3" t="s">
        <v>42</v>
      </c>
      <c r="Y63" s="3" t="s">
        <v>1046</v>
      </c>
      <c r="Z63" s="3" t="s">
        <v>1047</v>
      </c>
      <c r="AA63" s="3" t="s">
        <v>1048</v>
      </c>
      <c r="AB63" s="3" t="s">
        <v>1049</v>
      </c>
      <c r="AC63" s="3" t="s">
        <v>1050</v>
      </c>
      <c r="AD63" s="3"/>
      <c r="AE63" s="3" t="s">
        <v>51</v>
      </c>
      <c r="AF63" s="10">
        <v>46223</v>
      </c>
      <c r="AG63" s="3" t="s">
        <v>1051</v>
      </c>
      <c r="AH63" s="3" t="s">
        <v>42</v>
      </c>
      <c r="AI63" s="3" t="s">
        <v>63</v>
      </c>
      <c r="AJ63" s="3" t="str">
        <f t="shared" si="1"/>
        <v>cdc/atsdr environmental justice index (eji) cdc wonder national census-tract-level index for identifying communities experiencing cumulative environmental, social, and health burdens and supporting environmental justice, health equity, resource allocation, and place-based public health research. public interactive map and downloadable census-tract data in csv, excel, and geodatabase formats open/public sdoh/geospatial environmental exposure; health equity; environmental justice; social vulnerability; community vulnerability; climate; built environment; area-level data; health disparities cdc atsdr; environmental justice index; eji; environmental justice; cumulative impacts; cumulative burden; social vulnerability; environmental burden; health vulnerability; health equity; census tract; neighborhood disadvantage; air pollution; transportation barriers; housing; poverty; racial and ethnic minority status; climate burden; community vulnerability; eji ser; social-environmental ranking; hiv disparities; hiv prevention; hiv care; ending the hiv epidemic geospatial/area-level environmental justice; cumulative environmental burden; social vulnerability; health vulnerability; air pollution; potentially hazardous and toxic sites; built environment; transportation infrastructure; water pollution; socioeconomic conditions; housing; health-care access; chronic disease burden; climate hazards; health equity residents of census tracts in the continental united states, represented through community-level environmental, social, health, and climate indicators united states census tract census tract high overall eji percentile rank; social vulnerability module rank; environmental burden module rank; health vulnerability module rank; climate burden module indicators; eji social-environmental ranking; domain ranks; indicator ranks; poverty; unemployment; educational attainment; housing burden; racial and ethnic minority status; lack of health insurance; air pollution; hazardous sites; transportation infrastructure; water pollution; chronic disease prevalence flags; census tract geoid; state; county identify census tracts experiencing high cumulative burden; examine geographic disparities in hiv diagnoses, linkage to care, retention, or viral suppression; characterize neighborhood conditions for people with hiv; prioritize hiv testing, prevention, care, outreach, and mobile services; assess environmental and social context surrounding hiv outcomes; support ending the hiv epidemic planning; identify communities for qualitative engagement; evaluate whether environmental justice burden is associated with health-service access or outcomes cdc national hiv surveillance system; nchhstp atlasplus; aidsvu; cdc social vulnerability index; american community survey; area deprivation index; epa ejscreen; cdc places; hrsa area health resources files; ryan white hiv/aids program data; census tiger/line shapefiles; south carolina hiv surveillance data area-level index that does not measure individual exposure, vulnerability, hiv risk, or hiv status. associations are ecological and should not be interpreted as causal or applied directly to individuals. eji ranks are relative to other census tracts and do not represent absolute risk thresholds. indicator years and source methods vary, and some estimates may have uncertainty or missing values. national percentile rankings may obscure locally important conditions. cdc/atsdr does not recommend aggregating or averaging tract scores to counties because doing so can introduce error and conceal neighborhood variation. avoid using the full eji as an independent variable when studying health outcomes without considering overlap from its health vulnerability module; use the social-environmental ranking when appropriate. public area-level data with no identifiable individual records. researchers linking eji data to geocoded hiv surveillance or clinical records must follow the governance, confidentiality, suppression, irb, and data-use requirements of the hiv dataset. do not publish maps or small-area results that could indirectly disclose individuals with hiv. clearly distinguish tract-level contextual characteristics from individual attributes.</v>
      </c>
    </row>
    <row r="64" spans="1:36">
      <c r="A64" s="1" t="s">
        <v>1052</v>
      </c>
      <c r="B64" s="8" t="s">
        <v>1001</v>
      </c>
      <c r="C64" s="3" t="s">
        <v>1053</v>
      </c>
      <c r="D64" s="14" t="s">
        <v>1002</v>
      </c>
      <c r="E64" s="1"/>
      <c r="F64" s="3"/>
      <c r="G64" s="3"/>
      <c r="I64" s="3"/>
      <c r="J64" s="3"/>
      <c r="K64" s="3"/>
      <c r="L64" s="3"/>
      <c r="M64" s="3"/>
      <c r="N64" s="3"/>
      <c r="O64" s="3"/>
      <c r="Q64" s="3"/>
      <c r="R64" s="3"/>
      <c r="S64" s="3"/>
      <c r="T64" s="3"/>
      <c r="U64" s="1"/>
      <c r="V64" s="3"/>
      <c r="W64" s="3"/>
      <c r="X64" s="3"/>
      <c r="Y64" s="3"/>
      <c r="Z64" s="3"/>
      <c r="AA64" s="3"/>
      <c r="AB64" s="3"/>
      <c r="AC64" s="3"/>
      <c r="AD64" s="3"/>
      <c r="AE64" s="3"/>
      <c r="AF64" s="3"/>
      <c r="AG64" s="3"/>
      <c r="AH64" s="3"/>
      <c r="AI64" s="3"/>
      <c r="AJ64" s="3" t="str">
        <f t="shared" ref="AJ64:AJ73" si="2">LOWER(_xlfn.SINGLE(_xlfn.TEXTJOIN(" ", TRUE, B64, C64, E64, F64, G64, I64, J64, K64, L64, M64, N64, O64, P64, Q64, X64, Y64, Z64, AA64, AB64, AC64, AD64)))</f>
        <v>epa enviroatlas cdc</v>
      </c>
    </row>
    <row r="65" spans="1:36" ht="99.75" customHeight="1">
      <c r="A65" s="1" t="s">
        <v>1054</v>
      </c>
      <c r="B65" s="8" t="s">
        <v>1055</v>
      </c>
      <c r="C65" s="3" t="s">
        <v>1056</v>
      </c>
      <c r="D65" s="14" t="s">
        <v>1628</v>
      </c>
      <c r="E65" s="1" t="s">
        <v>1057</v>
      </c>
      <c r="F65" s="3" t="s">
        <v>1058</v>
      </c>
      <c r="G65" s="3" t="s">
        <v>224</v>
      </c>
      <c r="H65" s="3" t="s">
        <v>137</v>
      </c>
      <c r="I65" s="3" t="s">
        <v>810</v>
      </c>
      <c r="J65" s="3" t="s">
        <v>1059</v>
      </c>
      <c r="K65" s="3" t="s">
        <v>1060</v>
      </c>
      <c r="L65" s="3" t="s">
        <v>795</v>
      </c>
      <c r="M65" s="3" t="s">
        <v>1061</v>
      </c>
      <c r="N65" s="3" t="s">
        <v>1062</v>
      </c>
      <c r="O65" s="3" t="s">
        <v>48</v>
      </c>
      <c r="P65" s="3" t="s">
        <v>1063</v>
      </c>
      <c r="Q65" s="3" t="s">
        <v>49</v>
      </c>
      <c r="R65" s="3" t="s">
        <v>52</v>
      </c>
      <c r="S65" s="3" t="s">
        <v>51</v>
      </c>
      <c r="T65" s="3" t="s">
        <v>51</v>
      </c>
      <c r="U65" s="1" t="s">
        <v>1064</v>
      </c>
      <c r="V65" s="3" t="s">
        <v>1065</v>
      </c>
      <c r="W65" s="3" t="s">
        <v>42</v>
      </c>
      <c r="X65" s="3" t="s">
        <v>42</v>
      </c>
      <c r="Y65" t="s">
        <v>1066</v>
      </c>
      <c r="Z65" s="3" t="s">
        <v>1067</v>
      </c>
      <c r="AA65" s="3" t="s">
        <v>1068</v>
      </c>
      <c r="AB65" s="3" t="s">
        <v>1069</v>
      </c>
      <c r="AC65" s="3" t="s">
        <v>1070</v>
      </c>
      <c r="AD65" s="3"/>
      <c r="AE65" s="3" t="s">
        <v>51</v>
      </c>
      <c r="AF65" s="10">
        <v>46223</v>
      </c>
      <c r="AG65" s="3" t="s">
        <v>117</v>
      </c>
      <c r="AH65" s="3" t="s">
        <v>42</v>
      </c>
      <c r="AI65" s="3" t="s">
        <v>63</v>
      </c>
      <c r="AJ65" s="3" t="str">
        <f t="shared" si="2"/>
        <v>epa airdata epa public portal for downloading, querying, mapping, visualizing, and summarizing recent and historical ambient air-quality measurements collected at outdoor monitoring sites across the united states. public web reports, visualizations, maps, downloadable files, and api access; an api key is required for customized aqs api queries. open/public environmental exposure air quality; environmental monitoring; sdoh/geospatial; ambient air pollution; exposure assessment; regulatory monitoring; area-level data; time-series data epa airdata; air quality system; aqs; ambient air quality; outdoor air pollution; air monitor; monitoring station; pm2.5; pm10; ozone; nitrogen dioxide; sulfur dioxide; carbon monoxide; lead; air toxics; hazardous air pollutants; volatile organic compounds; aqi; air quality index; criteria pollutants; hourly air quality; daily air quality; annual air quality; monitor location; south carolina air quality environmental ambient air quality; pm2.5; pm10; ozone; nitrogen dioxide; sulfur dioxide; carbon monoxide; lead; air toxics; hazardous air pollutants; particle speciation; air quality index; meteorology; regulatory monitoring residents and populations living near covered outdoor air-monitoring locations in the united states, puerto rico, and the u.s. virgin islands united states monitoring site; county; city/cbsa; state other high monitor identifier; state and county fips codes; monitoring-site number; latitude; longitude; pollutant or parameter code; date and time; sample duration; concentration; units; arithmetic mean; daily maximum; 8-hour average; annual mean; percentiles; air quality index; number of observations; data completeness; exceptional-event flags; measurement method; monitoring network; site operator; quality-assurance information; meteorological measurements estimate ambient air-pollution exposure near populations or health-care facilities; evaluate short- and long-term air-quality trends; examine associations between pm2.5, ozone, or other pollutants and mortality, hospitalizations, hiv outcomes, respiratory disease, or cardiovascular disease; identify high-pollution periods and locations; compare south carolina counties or monitoring sites; support environmental epidemiology, policy evaluation, and regulatory research epa air quality system; airnow; epa ejscreen; cdc/atsdr environmental justice index; cdc environmental public health tracking network; noaa weather and climate data; american community survey; cdc places; cdc wonder mortality data; medicare and medicaid claims; hospital discharge data; nchhstp atlasplus; aidsvu; south carolina hiv surveillance data monitoring sites are not evenly distributed, and monitor coverage varies by pollutant, geography, and time. measurements represent conditions at specific outdoor locations and may not capture personal exposure, indoor exposure, or fine-scale variation between monitors. historical comparability may be affected by monitor openings and closures, changing instruments, methods, standards, and reporting practices. recent airnow observations shown in some airdata tools may not yet have completed aqs quality-assurance and certification procedures. missing observations and incomplete reporting can affect daily or annual summaries. area-level exposure assignments may introduce spatial misclassification, especially for populations far from a monitor. public environmental monitoring data with no identifiable individual records. customized aqs api use requires registration for an api key, but does not require restricted-data approval. researchers linking monitor data to protected health or hiv records must follow the governance, geocoding, confidentiality, suppression, irb, and data-use requirements of the health dataset. cite epa airdata or aqs and document the pollutant, monitor-selection method, averaging period, quality flags, and data vintage used.</v>
      </c>
    </row>
    <row r="66" spans="1:36" ht="42.75" customHeight="1">
      <c r="A66" s="1" t="s">
        <v>1071</v>
      </c>
      <c r="B66" s="9" t="s">
        <v>1072</v>
      </c>
      <c r="C66" s="3" t="s">
        <v>1073</v>
      </c>
      <c r="D66" s="14" t="s">
        <v>1627</v>
      </c>
      <c r="E66" s="12" t="s">
        <v>1075</v>
      </c>
      <c r="F66" s="3" t="s">
        <v>1074</v>
      </c>
      <c r="G66" s="3" t="s">
        <v>1074</v>
      </c>
      <c r="H66" s="3" t="s">
        <v>1074</v>
      </c>
      <c r="I66" s="3" t="s">
        <v>1074</v>
      </c>
      <c r="J66" s="3"/>
      <c r="K66" s="3"/>
      <c r="L66" s="3"/>
      <c r="M66" s="3"/>
      <c r="N66" s="3"/>
      <c r="O66" s="3"/>
      <c r="Q66" s="3"/>
      <c r="R66" s="3"/>
      <c r="S66" s="3"/>
      <c r="T66" s="3"/>
      <c r="U66" s="1"/>
      <c r="V66" s="3"/>
      <c r="W66" s="3"/>
      <c r="X66" s="3"/>
      <c r="Y66" s="3"/>
      <c r="Z66" s="3"/>
      <c r="AA66" s="3"/>
      <c r="AB66" s="3"/>
      <c r="AC66" s="3"/>
      <c r="AD66" s="3"/>
      <c r="AE66" s="3" t="s">
        <v>52</v>
      </c>
      <c r="AF66" s="10">
        <v>46223</v>
      </c>
      <c r="AG66" s="3" t="s">
        <v>117</v>
      </c>
      <c r="AH66" s="3" t="s">
        <v>137</v>
      </c>
      <c r="AI66" s="3" t="s">
        <v>1076</v>
      </c>
      <c r="AJ66" s="3" t="str">
        <f t="shared" si="2"/>
        <v>epa aqs api epa / arcgis / data.gov programmatic access method for customized retrieval of data from epa’s air quality system, the same underlying monitoring repository represented by epa airdata. same as epa airdata same as epa airdata same as epa airdata</v>
      </c>
    </row>
    <row r="67" spans="1:36" ht="99.75" customHeight="1">
      <c r="A67" s="1" t="s">
        <v>1077</v>
      </c>
      <c r="B67" s="8" t="s">
        <v>1078</v>
      </c>
      <c r="C67" s="3" t="s">
        <v>1056</v>
      </c>
      <c r="D67" s="14" t="s">
        <v>1626</v>
      </c>
      <c r="E67" s="1" t="s">
        <v>1079</v>
      </c>
      <c r="F67" s="3" t="s">
        <v>1080</v>
      </c>
      <c r="G67" s="3" t="s">
        <v>224</v>
      </c>
      <c r="H67" s="3" t="s">
        <v>137</v>
      </c>
      <c r="I67" s="3" t="s">
        <v>810</v>
      </c>
      <c r="J67" s="3" t="s">
        <v>1081</v>
      </c>
      <c r="K67" s="3" t="s">
        <v>1082</v>
      </c>
      <c r="L67" s="3" t="s">
        <v>795</v>
      </c>
      <c r="M67" s="3" t="s">
        <v>1083</v>
      </c>
      <c r="N67" s="3" t="s">
        <v>1084</v>
      </c>
      <c r="O67" s="3" t="s">
        <v>48</v>
      </c>
      <c r="P67" s="3" t="s">
        <v>1085</v>
      </c>
      <c r="Q67" s="3" t="s">
        <v>49</v>
      </c>
      <c r="R67" s="3" t="s">
        <v>52</v>
      </c>
      <c r="S67" s="3" t="s">
        <v>51</v>
      </c>
      <c r="T67" s="3" t="s">
        <v>52</v>
      </c>
      <c r="U67" s="1" t="s">
        <v>1086</v>
      </c>
      <c r="V67" s="3" t="s">
        <v>1087</v>
      </c>
      <c r="W67" s="3" t="s">
        <v>42</v>
      </c>
      <c r="X67" s="3" t="s">
        <v>42</v>
      </c>
      <c r="Y67" s="3" t="s">
        <v>1088</v>
      </c>
      <c r="Z67" s="3" t="s">
        <v>1089</v>
      </c>
      <c r="AA67" s="3" t="s">
        <v>1090</v>
      </c>
      <c r="AB67" s="3" t="s">
        <v>1091</v>
      </c>
      <c r="AC67" s="3" t="s">
        <v>1092</v>
      </c>
      <c r="AD67" s="3"/>
      <c r="AE67" s="3" t="s">
        <v>60</v>
      </c>
      <c r="AF67" s="10">
        <v>46223</v>
      </c>
      <c r="AG67" s="3" t="s">
        <v>117</v>
      </c>
      <c r="AH67" s="3" t="s">
        <v>62</v>
      </c>
      <c r="AI67" s="3" t="s">
        <v>63</v>
      </c>
      <c r="AJ67" s="3" t="str">
        <f t="shared" si="2"/>
        <v>epa airtoxscreen epa national screening assessment that models ambient concentrations, population exposures, lifetime cancer risks, and chronic noncancer hazards associated with hazardous air pollutants to help identify pollutants, emission sources, and locations that may warrant further study. public website, mapping tool, technical documentation, and downloadable national and state-level assessment files open/public environmental exposure air quality; air toxics; hazardous air pollutants; exposure modeling; cancer risk; health risk screening; environmental justice; sdoh/geospatial; area-level data epa airtoxscreen; air toxics screening assessment; air toxics; hazardous air pollutants; haps; modeled air pollution; ambient concentration; exposure concentration; inhalation exposure; lifetime cancer risk; cancer risk per million; noncancer hazard index; respiratory hazard; census block; census tract; emissions source; point source; mobile source; nonpoint source; background pollution; environmental health disparities environmental hazardous air pollutants; air toxics; ambient concentrations; inhalation exposure; lifetime cancer risk; respiratory noncancer hazards; point-source emissions; mobile-source emissions; nonpoint emissions; wildfire and fire emissions; background pollution; environmental health disparities residents of the united states, represented through modeled population exposure to outdoor hazardous air pollutants at small-area geographic levels united states census block; census tract; county; state, depending on assessment year and output other high census block or tract identifier; state and county fips codes; hazardous air pollutant; modeled ambient concentration; modeled exposure concentration; lifetime cancer risk per million; respiratory hazard quotient; respiratory hazard index; emissions-source category; point-source contribution; on-road mobile contribution; nonroad mobile contribution; nonpoint-source contribution; fire contribution; biogenic contribution; secondary-formation contribution; background contribution; population; latitude; longitude identify communities with elevated modeled air-toxics burdens; examine associations between long-term air-toxics exposure and hiv outcomes, cancer, respiratory disease, or cardiovascular outcomes; characterize neighborhood environmental context; prioritize areas for monitoring or detailed assessment; compare pollutant and source contributions; assess environmental-health disparities; support community-engagement and hypothesis-generation studies epa national emissions inventory; epa airdata/aqs; epa ejscreen; epa toxics release inventory; epa risk-screening environmental indicators; cdc/atsdr environmental justice index; cdc environmental public health tracking network; american community survey; cdc places; nchhstp atlasplus; aidsvu; cdc national hiv surveillance system; south carolina hiv surveillance data screening-level modeled assessment rather than direct measurement, personal-exposure assessment, regulatory determination, or site-specific risk assessment. estimates assume long-term exposure to modeled annual-average conditions and do not characterize short-term peaks, indoor exposure, occupational exposure, ingestion pathways, or every hazardous air pollutant. results depend on emissions inventories, meteorology, atmospheric models, toxicity values, population data, and assumptions that contain uncertainty. fine geographic output does not imply equivalent precision because some inputs and model processes operate at coarser scales. differences across assessment years may reflect methodological changes as well as actual emissions changes. results should be used to identify priorities for additional investigation, not to estimate an individual's health risk. public modeled area-level data with no identifiable individual records. linking airtoxscreen results to protected hiv, clinical, claims, or surveillance data requires compliance with the confidentiality, geocoding, suppression, irb, and data-use requirements of the health dataset. avoid presenting modeled area-level risk as an individual exposure or diagnosis. document the assessment year, geography, pollutant, source category, risk metric, and modeling version used.</v>
      </c>
    </row>
    <row r="68" spans="1:36" ht="128.25" customHeight="1">
      <c r="A68" s="1" t="s">
        <v>1093</v>
      </c>
      <c r="B68" s="9" t="s">
        <v>1094</v>
      </c>
      <c r="C68" s="3" t="s">
        <v>1056</v>
      </c>
      <c r="D68" s="4" t="s">
        <v>1095</v>
      </c>
      <c r="E68" s="1" t="s">
        <v>1096</v>
      </c>
      <c r="F68" s="3" t="s">
        <v>1097</v>
      </c>
      <c r="G68" s="3" t="s">
        <v>224</v>
      </c>
      <c r="H68" s="3" t="s">
        <v>62</v>
      </c>
      <c r="I68" s="3" t="s">
        <v>810</v>
      </c>
      <c r="J68" s="3" t="s">
        <v>1098</v>
      </c>
      <c r="K68" s="3" t="s">
        <v>1099</v>
      </c>
      <c r="L68" s="3" t="s">
        <v>795</v>
      </c>
      <c r="M68" s="3" t="s">
        <v>1100</v>
      </c>
      <c r="N68" s="3" t="s">
        <v>1101</v>
      </c>
      <c r="O68" s="3" t="s">
        <v>48</v>
      </c>
      <c r="P68" s="3" t="s">
        <v>1102</v>
      </c>
      <c r="Q68" s="3" t="s">
        <v>49</v>
      </c>
      <c r="R68" s="3" t="s">
        <v>52</v>
      </c>
      <c r="S68" s="3" t="s">
        <v>51</v>
      </c>
      <c r="T68" s="3" t="s">
        <v>51</v>
      </c>
      <c r="U68" s="1" t="s">
        <v>1103</v>
      </c>
      <c r="V68" s="3" t="s">
        <v>1104</v>
      </c>
      <c r="W68" s="3" t="s">
        <v>42</v>
      </c>
      <c r="X68" s="3" t="s">
        <v>42</v>
      </c>
      <c r="Y68" s="3" t="s">
        <v>1105</v>
      </c>
      <c r="Z68" s="3" t="s">
        <v>1106</v>
      </c>
      <c r="AA68" s="3" t="s">
        <v>1107</v>
      </c>
      <c r="AB68" s="3" t="s">
        <v>1108</v>
      </c>
      <c r="AC68" s="3" t="s">
        <v>1109</v>
      </c>
      <c r="AD68" s="3"/>
      <c r="AE68" s="3" t="s">
        <v>60</v>
      </c>
      <c r="AF68" s="10">
        <v>46223</v>
      </c>
      <c r="AG68" s="3" t="s">
        <v>117</v>
      </c>
      <c r="AH68" s="3" t="s">
        <v>62</v>
      </c>
      <c r="AI68" s="3" t="s">
        <v>63</v>
      </c>
      <c r="AJ68" s="3" t="str">
        <f t="shared" si="2"/>
        <v>epa national emissions inventory (nei) epa comprehensive national inventory of estimated air-pollutant emissions from stationary facilities, smaller area sources, on-road vehicles, off-road equipment, airports, rail, marine vessels, agriculture, and fires for emissions characterization, trend analysis, air-quality modeling, and regulatory research. public webpages, downloadable inventory files, summaries, technical documentation, and online retrieval tools open/public environmental exposure air emissions; air quality; hazardous air pollutants; criteria pollutants; industrial facilities; mobile sources; fires; source inventory; environmental modeling; area-level data epa nei; national emissions inventory; air emissions; emissions inventory; criteria pollutants; hazardous air pollutants; haps; pm2.5; pm10; nitrogen oxides; sulfur dioxide; carbon monoxide; volatile organic compounds; ammonia; lead; facility emissions; point sources; nonpoint sources; onroad emissions; nonroad emissions; wildfire emissions; prescribed fire; source classification code; emissions sector; county emissions environmental air-pollutant emissions; criteria pollutants; hazardous air pollutants; industrial emissions; power plants; transportation emissions; nonroad equipment; residential combustion; commercial activity; agriculture; wildfires; prescribed fires; airports; rail; marine vessels; emissions trends; air-quality modeling residents of the united states and territories potentially affected by air emissions from inventoried sources united states facility; emission unit; county; tribal area; state, depending on source category and file other high inventory year; facility identifier; facility name; state and county fips codes; latitude; longitude; source classification code; emissions process; source sector; point, nonpoint, onroad, or nonroad category; pollutant code; pollutant name; annual emissions; emissions units; stack and release-point characteristics; control equipment; activity data; emission factor; fuel type; vehicle or equipment class; fire type; county total emissions identify major air-emission sources and sectors; characterize industrial and transportation emissions near communities; compare emissions across counties or years; examine associations between area-level emissions and hiv, respiratory, cardiovascular, cancer, or hospitalization outcomes; support source-apportionment and air-quality modeling; evaluate environmental disparities; identify facilities or sectors for more detailed study epa airtoxscreen; epa airdata/aqs; epa ejscreen; epa toxics release inventory; epa risk-screening environmental indicators; epa facility registry service; epa echo; noaa meteorological data; american community survey; cdc/atsdr environmental justice index; cdc places; nchhstp atlasplus; aidsvu; south carolina hiv surveillance data emissions inventory rather than direct ambient concentration, personal exposure, or health-risk data. values are reported or estimated using methods that vary by source category, state, pollutant, and inventory year. nonpoint, mobile, and fire emissions are often modeled or allocated to counties and may not identify precise release locations. reporting thresholds can exclude smaller facilities from point-source files. differences across years may reflect methodology, reporting requirements, classification changes, or improved data rather than actual emissions changes. annual totals do not capture short-term peaks or atmospheric transport. emitted quantities should not be interpreted as population dose or health risk without additional exposure modeling. public environmental and facility-level data with no identifiable individual health records. linking nei data to protected hiv, clinical, or surveillance records requires compliance with the confidentiality, geocoding, suppression, irb, and data-use requirements of the health dataset. researchers should document the inventory version, source category, pollutant, geographic aggregation, unit conversion, and processing decisions.</v>
      </c>
    </row>
    <row r="69" spans="1:36" ht="57" customHeight="1">
      <c r="A69" s="1" t="s">
        <v>1110</v>
      </c>
      <c r="B69" s="8" t="s">
        <v>1111</v>
      </c>
      <c r="C69" s="3" t="s">
        <v>1056</v>
      </c>
      <c r="D69" s="4" t="s">
        <v>1112</v>
      </c>
      <c r="E69" s="1" t="s">
        <v>1113</v>
      </c>
      <c r="F69" s="3" t="s">
        <v>1114</v>
      </c>
      <c r="G69" s="3" t="s">
        <v>224</v>
      </c>
      <c r="H69" s="3" t="s">
        <v>137</v>
      </c>
      <c r="I69" s="3" t="s">
        <v>810</v>
      </c>
      <c r="J69" s="3" t="s">
        <v>1115</v>
      </c>
      <c r="K69" s="3" t="s">
        <v>1116</v>
      </c>
      <c r="L69" s="3" t="s">
        <v>795</v>
      </c>
      <c r="M69" s="3" t="s">
        <v>1117</v>
      </c>
      <c r="N69" s="3" t="s">
        <v>1118</v>
      </c>
      <c r="O69" s="3" t="s">
        <v>48</v>
      </c>
      <c r="P69" s="3" t="s">
        <v>1119</v>
      </c>
      <c r="Q69" s="3" t="s">
        <v>815</v>
      </c>
      <c r="R69" s="3" t="s">
        <v>52</v>
      </c>
      <c r="S69" s="3" t="s">
        <v>51</v>
      </c>
      <c r="T69" s="3" t="s">
        <v>51</v>
      </c>
      <c r="U69" s="1" t="s">
        <v>1120</v>
      </c>
      <c r="V69" s="3" t="s">
        <v>1121</v>
      </c>
      <c r="W69" s="3" t="s">
        <v>42</v>
      </c>
      <c r="X69" s="3" t="s">
        <v>42</v>
      </c>
      <c r="Y69" s="3" t="s">
        <v>1122</v>
      </c>
      <c r="Z69" s="3" t="s">
        <v>1123</v>
      </c>
      <c r="AA69" s="3" t="s">
        <v>1124</v>
      </c>
      <c r="AB69" s="3" t="s">
        <v>1125</v>
      </c>
      <c r="AC69" s="3" t="s">
        <v>1126</v>
      </c>
      <c r="AD69" s="3"/>
      <c r="AE69" s="3" t="s">
        <v>60</v>
      </c>
      <c r="AF69" s="10">
        <v>46223</v>
      </c>
      <c r="AG69" s="3" t="s">
        <v>117</v>
      </c>
      <c r="AH69" s="3" t="s">
        <v>42</v>
      </c>
      <c r="AI69" s="3" t="s">
        <v>63</v>
      </c>
      <c r="AJ69" s="3" t="str">
        <f t="shared" si="2"/>
        <v>epa toxics release inventory (tri) epa annual facility-level data on toxic chemical releases, waste management, off-site transfers, recycling, treatment, energy recovery, and pollution-prevention activities reported by covered industrial and federal facilities. public interactive tools, maps, reports, downloadable annual files, facility records, and envirofacts searches open/public environmental exposure industrial pollution; toxic chemicals; facility-level data; environmental justice; pollution prevention; air releases; water releases; land disposal; waste management; longitudinal data epa tri; toxics release inventory; toxic chemical releases; facility emissions; industrial pollution; chemical waste management; air releases; water discharges; land disposal; off-site transfers; recycling; treatment; energy recovery; pollution prevention; source reduction; tri facility; trifid; form r; form a; epcra section 313; pfas; environmental justice; chemical exposure environmental toxic chemical releases; industrial emissions; air pollution; surface-water discharges; underground injection; land disposal; off-site waste transfers; chemical recycling; energy recovery; treatment; pollution prevention; source reduction; facility environmental performance residents and communities potentially affected by toxic chemical releases and waste-management activities from covered industrial and federal facilities in the united states and territories united states facility; zip code; county; state; tribal area facility/provider high tri facility identifier; facility name; parent company; street address; city; county; state; zip code; latitude; longitude; tribal land indicator; naics industry code; chemical name; cas number; chemical category; reporting year; on-site air releases; surface-water discharges; underground injection; land disposal; fugitive air emissions; stack air emissions; off-site transfers; recycling; energy recovery; treatment; production-related waste; one-time releases; source-reduction activities; pollution-prevention practices; receiving facility; release units identify facilities and chemicals contributing to local industrial pollution; map facility proximity to communities affected by hiv or other health disparities; examine trends in releases and waste management; assess industrial and environmental-justice burdens; identify chemicals or industries for further exposure assessment; study associations between facility activity and area-level health outcomes; evaluate pollution-prevention changes over time epa risk-screening environmental indicators; epa ejscreen; epa facility registry service; epa echo; epa national emissions inventory; epa airtoxscreen; epa airdata/aqs; american community survey; cdc/atsdr environmental justice index; cdc places; nchhstp atlasplus; aidsvu; south carolina hiv surveillance data tri does not cover every chemical, facility, or industry sector. facilities report only when they meet applicable industry, employee, chemical-use, and reporting thresholds. reported release quantities are not direct measures of environmental concentration, personal exposure, dose, or health risk. releases may be permitted and managed under environmental regulations. facility-reported values may be estimates rather than direct measurements and can be revised after initial submission. reporting requirements, covered chemicals, industry classifications, and estimation methods change over time. comparing pounds across chemicals can be misleading because toxicity and environmental fate vary greatly. dioxin and dioxin-like compounds are reported in grams, while most other chemicals are reported in pounds. public facility-level environmental data with no identifiable individual health records. researchers linking tri facilities to protected hiv, clinical, claims, or surveillance data must follow the confidentiality, geocoding, suppression, irb, and data-use requirements of the health dataset. avoid interpreting proximity as confirmed exposure. document the reporting year, data vintage, chemical universe, facility-selection criteria, distance or buffer method, units, revisions, and treatment of off-site transfers.</v>
      </c>
    </row>
    <row r="70" spans="1:36" ht="71.25" customHeight="1">
      <c r="A70" s="1" t="s">
        <v>1127</v>
      </c>
      <c r="B70" s="9" t="s">
        <v>1128</v>
      </c>
      <c r="C70" s="3" t="s">
        <v>1056</v>
      </c>
      <c r="D70" s="4" t="s">
        <v>1129</v>
      </c>
      <c r="E70" s="1" t="s">
        <v>1130</v>
      </c>
      <c r="F70" s="3" t="s">
        <v>1131</v>
      </c>
      <c r="G70" s="3" t="s">
        <v>224</v>
      </c>
      <c r="H70" s="3" t="s">
        <v>62</v>
      </c>
      <c r="I70" s="3" t="s">
        <v>810</v>
      </c>
      <c r="J70" s="3" t="s">
        <v>1132</v>
      </c>
      <c r="K70" s="3" t="s">
        <v>1133</v>
      </c>
      <c r="L70" s="3" t="s">
        <v>795</v>
      </c>
      <c r="M70" s="3" t="s">
        <v>1134</v>
      </c>
      <c r="N70" s="3" t="s">
        <v>1135</v>
      </c>
      <c r="O70" s="3" t="s">
        <v>48</v>
      </c>
      <c r="P70" s="3" t="s">
        <v>1136</v>
      </c>
      <c r="Q70" s="3" t="s">
        <v>49</v>
      </c>
      <c r="R70" s="3" t="s">
        <v>52</v>
      </c>
      <c r="S70" s="3" t="s">
        <v>51</v>
      </c>
      <c r="T70" s="3" t="s">
        <v>51</v>
      </c>
      <c r="U70" s="1" t="s">
        <v>1137</v>
      </c>
      <c r="V70" s="3" t="s">
        <v>1138</v>
      </c>
      <c r="W70" s="3" t="s">
        <v>42</v>
      </c>
      <c r="X70" s="3" t="s">
        <v>42</v>
      </c>
      <c r="Y70" s="3" t="s">
        <v>1139</v>
      </c>
      <c r="Z70" s="3" t="s">
        <v>1140</v>
      </c>
      <c r="AA70" s="3" t="s">
        <v>1141</v>
      </c>
      <c r="AB70" s="3" t="s">
        <v>1142</v>
      </c>
      <c r="AC70" s="3" t="s">
        <v>1143</v>
      </c>
      <c r="AD70" s="3"/>
      <c r="AE70" s="3" t="s">
        <v>51</v>
      </c>
      <c r="AF70" s="10">
        <v>46223</v>
      </c>
      <c r="AG70" s="3" t="s">
        <v>117</v>
      </c>
      <c r="AH70" s="3" t="s">
        <v>62</v>
      </c>
      <c r="AI70" s="3" t="s">
        <v>63</v>
      </c>
      <c r="AJ70" s="3" t="str">
        <f t="shared" si="2"/>
        <v>epa risk-screening environmental indicators (rsei) epa screening-level model that places tri-reported toxic chemical releases and waste-management activities into a relative health-impact context by incorporating chemical toxicity, environmental fate and transport, modeled exposure pathways, and potentially exposed populations. public website, interactive easyrsei dashboard, downloadable model results, geographic microdata, technical documentation, and data dictionary open/public environmental exposure toxic chemicals; industrial pollution; environmental justice; exposure modeling; risk screening; cancer risk; noncancer effects; facility-level data; geospatial data; longitudinal data epa rsei; risk-screening environmental indicators; easyrsei; rsei geographic microdata; tri risk screening; toxicity-weighted concentration; toxicity-weighted pounds; rsei score; rsei hazard; modeled exposure; industrial chemical releases; chronic health impacts; cancer effects; noncancer effects; air releases; water releases; off-site transfers; census block group; environmental justice; facility ranking environmental toxic chemical releases; industrial pollution; modeled air exposure; modeled water exposure; chemical toxicity; environmental fate and transport; chronic cancer effects; chronic noncancer effects; population exposure; facility prioritization; environmental justice; pollution trends residents of the united states potentially affected by modeled air and water pathways from tri-reporting industrial and federal facilities united states 810-meter grid cell; census block group; census tract; zip code; county; facility; state, depending on product other high tri facility identifier; facility name; parent company; facility latitude and longitude; reporting year; chemical name; cas number; naics industry; release pathway; pounds released or transferred; modeled pounds; toxicity weight; toxicity-weighted pounds; modeled air concentration; modeled water concentration; toxicity-weighted concentration; potentially exposed population; rsei score; cancer rsei score; noncancer rsei score; rsei hazard; grid-cell identifier; census block group geoid; census tract; zip code; county; state prioritize facilities, chemicals, industries, or communities for further investigation; identify geographic areas with relatively high modeled industrial chemical burdens; examine associations between modeled toxic exposure and hiv outcomes or other health disparities; compare cancer- and noncancer-related screening scores; assess trends in potential chronic health impacts; evaluate environmental justice patterns; support community-engagement, hypothesis-generation, and resource-prioritization studies epa toxics release inventory; epa ejscreen; epa airtoxscreen; epa national emissions inventory; epa airdata/aqs; epa facility registry service; epa echo; cdc/atsdr environmental justice index; cdc/atsdr social vulnerability index; american community survey; cdc places; nchhstp atlasplus; aidsvu; south carolina hiv surveillance data screening and prioritization model rather than a formal risk assessment, regulatory compliance determination, or estimate of individual health risk. results rely on tri reporting and therefore exclude facilities, industries, chemicals, or activities outside tri requirements. rsei uses simplifying and sometimes conservative assumptions when detailed exposure or toxicity information is unavailable. scores are unitless and intended for relative comparisons, not as probabilities of illness or absolute risk values. modeled concentrations and exposure estimates are not personal measurements. rsei models selected air releases, water releases, transfers to publicly owned treatment works, and transfers to incineration, but does not model every tri waste-management pathway. facility-level scores may reflect impacts occurring away from the reporting facility, including off-site transfers. geographic and annual comparisons should use the same rsei model version. public modeled environmental data with no identifiable individual health records. linking rsei results to protected hiv, clinical, claims, or surveillance data requires compliance with the confidentiality, geocoding, suppression, irb, and data-use requirements of the health dataset. avoid interpreting area-level scores as individual exposure or disease risk. document the rsei version, tri reporting years, pathway, chemical universe, geographic product, cancer or noncancer metric, and processing decisions.</v>
      </c>
    </row>
    <row r="71" spans="1:36" ht="142.5" customHeight="1">
      <c r="A71" s="1" t="s">
        <v>1144</v>
      </c>
      <c r="B71" s="8" t="s">
        <v>1145</v>
      </c>
      <c r="C71" s="3" t="s">
        <v>1056</v>
      </c>
      <c r="D71" s="4" t="s">
        <v>1146</v>
      </c>
      <c r="E71" s="1" t="s">
        <v>1147</v>
      </c>
      <c r="F71" s="3" t="s">
        <v>1148</v>
      </c>
      <c r="G71" s="3" t="s">
        <v>224</v>
      </c>
      <c r="H71" s="3" t="s">
        <v>137</v>
      </c>
      <c r="I71" s="3" t="s">
        <v>810</v>
      </c>
      <c r="J71" s="3" t="s">
        <v>1149</v>
      </c>
      <c r="K71" s="3" t="s">
        <v>1150</v>
      </c>
      <c r="L71" s="3" t="s">
        <v>795</v>
      </c>
      <c r="M71" s="3" t="s">
        <v>1151</v>
      </c>
      <c r="N71" s="3" t="s">
        <v>1152</v>
      </c>
      <c r="O71" s="3" t="s">
        <v>48</v>
      </c>
      <c r="P71" s="3" t="s">
        <v>1153</v>
      </c>
      <c r="Q71" t="s">
        <v>815</v>
      </c>
      <c r="R71" s="3" t="s">
        <v>52</v>
      </c>
      <c r="S71" s="3" t="s">
        <v>51</v>
      </c>
      <c r="T71" s="3" t="s">
        <v>51</v>
      </c>
      <c r="U71" s="1" t="s">
        <v>1154</v>
      </c>
      <c r="V71" s="3" t="s">
        <v>1155</v>
      </c>
      <c r="W71" s="3" t="s">
        <v>42</v>
      </c>
      <c r="X71" s="3" t="s">
        <v>42</v>
      </c>
      <c r="Y71" s="3" t="s">
        <v>1156</v>
      </c>
      <c r="Z71" s="3" t="s">
        <v>1157</v>
      </c>
      <c r="AA71" s="3" t="s">
        <v>1158</v>
      </c>
      <c r="AB71" s="3" t="s">
        <v>1159</v>
      </c>
      <c r="AC71" s="3" t="s">
        <v>1160</v>
      </c>
      <c r="AD71" s="3"/>
      <c r="AE71" s="3" t="s">
        <v>51</v>
      </c>
      <c r="AF71" s="10">
        <v>46224</v>
      </c>
      <c r="AG71" s="3" t="s">
        <v>117</v>
      </c>
      <c r="AH71" s="3" t="s">
        <v>62</v>
      </c>
      <c r="AI71" s="3" t="s">
        <v>63</v>
      </c>
      <c r="AJ71" s="3" t="str">
        <f t="shared" si="2"/>
        <v>epa enforcement and compliance history online (echo) epa integrated public portal for locating regulated facilities and examining environmental permits, inspections, compliance status, violations, enforcement actions, penalties, pollutant discharges, and surrounding community characteristics across major federal environmental programs. public facility searches, detailed facility reports, dashboards, maps, bulk downloads, map services, and query-only web services; optional user accounts support selected notification or saved-search functions. open/public environmental exposure regulatory compliance; environmental enforcement; facility-level data; industrial pollution; drinking water; wastewater; hazardous waste; air regulation; environmental justice; permits; inspections; longitudinal data epa echo; enforcement and compliance history online; environmental compliance; regulated facility; facility inspection; environmental violation; enforcement action; civil penalty; clean air act; clean water act; npdes; safe drinking water act; rcra; hazardous waste; discharge monitoring report; permit compliance; pollutant discharge; public water system; environmental justice; facility search environmental environmental regulation; facility compliance; permits; inspections; violations; enforcement actions; penalties; air-program compliance; wastewater and stormwater discharges; drinking-water compliance; hazardous-waste regulation; pollutant loadings; industrial facilities; community demographics residents and communities located near or served by regulated facilities, public water systems, wastewater systems, hazardous-waste handlers, and other entities covered by epa environmental programs united states facility; public water system; permitted discharge point; county; state; watershed facility/provider high epa facility registry service identifier; program-specific facility identifier; facility name; address; latitude; longitude; county; state; tribal-area association; industry code; regulatory program; permit identifier; permit status; inspection or evaluation date; compliance status; quarters in noncompliance; significant noncompliance or high-priority violation flag; violation type; enforcement action; case number; penalty amount; pollutant discharge; permit limit; discharge monitoring result; public water system identifier; population served; surrounding demographic indicators identify regulated facilities near communities or health-service locations; examine whether environmental violations or enforcement activity cluster in disadvantaged areas; characterize regulatory and industrial context for hiv or other health-disparities studies; assess facility inspection and compliance histories; identify wastewater discharges or drinking-water compliance concerns; compare enforcement patterns across counties or states; link facility compliance records to environmental, demographic, or health outcomes; support community-engagement and environmental-justice research epa facility registry service; epa toxics release inventory; epa risk-screening environmental indicators; epa national emissions inventory; epa airtoxscreen; epa airdata/aqs; epa ejscreen; epa envirofacts; epa water pollutant loading tool; safe drinking water information system; american community survey; cdc/atsdr environmental justice index; cdc places; nchhstp atlasplus; aidsvu; south carolina hiv surveillance data echo integrates records from multiple federal, state, local, and tribal systems whose completeness, reporting schedules, terminology, and data quality vary. a listed violation may be historical, resolved, under review, or affected by reporting lag. absence of a violation does not establish absence of pollution or risk, and enforcement activity may partly reflect inspection frequency and regulatory priorities. facility location does not establish personal exposure. program coverage differs: not every facility is regulated under every statute, and not every environmental release appears in echo. search pages show limited recent history, while additional years may require detailed reports or bulk downloads. known data problems and refresh dates should be reviewed before analysis. public facility- and system-level regulatory data with no identifiable individual health records. linking echo information to protected hiv, clinical, claims, or surveillance data requires compliance with the confidentiality, geocoding, suppression, irb, and data-use requirements of the health dataset. avoid treating residence near a regulated or noncompliant facility as confirmed individual exposure. document the regulatory program, extraction date, facility-matching method, compliance window, violation definition, enforcement status, and data vintage.</v>
      </c>
    </row>
    <row r="72" spans="1:36" ht="71.25" customHeight="1">
      <c r="A72" s="1" t="s">
        <v>1161</v>
      </c>
      <c r="B72" s="9" t="s">
        <v>1162</v>
      </c>
      <c r="C72" s="3" t="s">
        <v>1056</v>
      </c>
      <c r="D72" s="4" t="s">
        <v>1163</v>
      </c>
      <c r="E72" s="1" t="s">
        <v>1164</v>
      </c>
      <c r="F72" s="3" t="s">
        <v>1165</v>
      </c>
      <c r="G72" s="3" t="s">
        <v>224</v>
      </c>
      <c r="H72" s="3" t="s">
        <v>137</v>
      </c>
      <c r="I72" s="3" t="s">
        <v>810</v>
      </c>
      <c r="J72" s="3" t="s">
        <v>1166</v>
      </c>
      <c r="K72" s="3" t="s">
        <v>1167</v>
      </c>
      <c r="L72" s="3" t="s">
        <v>323</v>
      </c>
      <c r="M72" s="3" t="s">
        <v>1168</v>
      </c>
      <c r="N72" s="3" t="s">
        <v>1169</v>
      </c>
      <c r="O72" s="3" t="s">
        <v>48</v>
      </c>
      <c r="P72" s="3" t="s">
        <v>1170</v>
      </c>
      <c r="Q72" s="3" t="s">
        <v>815</v>
      </c>
      <c r="R72" s="3" t="s">
        <v>52</v>
      </c>
      <c r="S72" s="3" t="s">
        <v>51</v>
      </c>
      <c r="T72" s="3" t="s">
        <v>52</v>
      </c>
      <c r="U72" s="1" t="s">
        <v>1171</v>
      </c>
      <c r="V72" s="3" t="s">
        <v>1172</v>
      </c>
      <c r="W72" s="3" t="s">
        <v>42</v>
      </c>
      <c r="X72" s="3" t="s">
        <v>42</v>
      </c>
      <c r="Y72" s="3" t="s">
        <v>1173</v>
      </c>
      <c r="Z72" s="3" t="s">
        <v>1174</v>
      </c>
      <c r="AA72" s="3" t="s">
        <v>1175</v>
      </c>
      <c r="AB72" s="3" t="s">
        <v>1176</v>
      </c>
      <c r="AC72" s="3" t="s">
        <v>1177</v>
      </c>
      <c r="AD72" s="3"/>
      <c r="AE72" s="3" t="s">
        <v>60</v>
      </c>
      <c r="AF72" s="10">
        <v>46224</v>
      </c>
      <c r="AG72" s="3" t="s">
        <v>117</v>
      </c>
      <c r="AH72" s="3" t="s">
        <v>62</v>
      </c>
      <c r="AI72" s="3" t="s">
        <v>63</v>
      </c>
      <c r="AJ72" s="3" t="str">
        <f t="shared" si="2"/>
        <v>epa facility registry service (frs) epa central facility-identification and geospatial registry that consolidates facility names, locations, identifiers, industrial classifications, and environmental-program affiliations from epa, state, tribal, and other partner systems to support facility matching and cross-dataset linkage. public facility search, downloadable state and national csv files, geospatial downloads, rest apis, arcgis map services, and custom query tools; selected intergovernmental or internal services require authentication. open/public environmental exposure sdoh/geospatial; facility registry; environmental regulation; data integration; facility identifiers; industrial facilities; geocoding; cross-dataset linkage; area-level data epa frs; facility registry service; facility registry system; frs registry id; facility identifier; environmental facility; regulated facility; facility location; facility crosswalk; facility geocoding; epa program systems; industrial classification; naics; sic; environmental interest; facility matching; environmental data integration; south carolina facilities geospatial/area-level environmental facilities; regulated sites; industrial facilities; facility identification; facility geolocation; air programs; water programs; hazardous waste; toxic releases; contaminated sites; drinking-water systems; wastewater facilities; environmental data integration residents and communities located near facilities, sites, public water systems, wastewater facilities, and other locations represented in epa or partner environmental-program systems united states facility or site facility/provider high frs registry id; program-system identifier; facility or site name; alternate facility name; street address; mailing address; city; county; state; zip code; latitude; longitude; geospatial verification information; affiliated organization; environmental-program affiliation; program interest type; facility status; naics code and description; sic code and description; tribal-area information; congressional district match facilities across epa datasets; crosswalk tri, echo, rcra, superfund, npdes, sdwis, aqs, and other program identifiers; geocode environmental facilities; remove duplicate facility records; identify facility types near communities or health-service locations; construct proximity measures for public-health studies; examine the distribution of regulated or environmentally relevant facilities; support reproducible environmental-data integration epa echo; epa toxics release inventory; epa risk-screening environmental indicators; epa national emissions inventory; epa airtoxscreen; epa airdata/aqs; epa envirofacts; epa rcrainfo; epa superfund enterprise management system; epa npdes/icis; safe drinking water information system; american community survey; cdc/atsdr environmental justice index facility registry and identity-resolution system rather than a direct pollution, exposure, emissions, compliance, or health-risk dataset. presence of a facility in frs does not establish that it is currently operating, violating regulations, releasing pollution, or creating exposure. absence from frs does not establish the absence of an environmental concern. facilities may have multiple names, addresses, program identifiers, owners, or program interests. coordinate accuracy and facility boundaries vary, and a single coordinate may not represent the location of releases or the full facility footprint. contributing systems have different scopes, definitions, update schedules, and historical coverage. facility records and program links should be validated before analysis. public facility- and site-level environmental information with no identifiable individual health records. public downloads exclude data designated as sensitive. linking frs locations to protected hiv, clinical, claims, or surveillance data requires compliance with the confidentiality, geocoding, suppression, irb, and data-use requirements of the health dataset. facility proximity should not be interpreted as confirmed individual exposure. document the frs extraction date, registry id matching rules, coordinate-quality criteria, program systems included, and treatment of duplicate or inactive facilities.</v>
      </c>
    </row>
    <row r="73" spans="1:36" ht="85.5" customHeight="1">
      <c r="A73" s="1" t="s">
        <v>1178</v>
      </c>
      <c r="B73" s="9" t="s">
        <v>1179</v>
      </c>
      <c r="C73" s="3" t="s">
        <v>1056</v>
      </c>
      <c r="D73" s="14" t="s">
        <v>1625</v>
      </c>
      <c r="E73" s="1" t="s">
        <v>1180</v>
      </c>
      <c r="F73" s="3" t="s">
        <v>1181</v>
      </c>
      <c r="G73" s="3" t="s">
        <v>224</v>
      </c>
      <c r="H73" s="3" t="s">
        <v>62</v>
      </c>
      <c r="I73" s="3" t="s">
        <v>810</v>
      </c>
      <c r="J73" s="3" t="s">
        <v>1182</v>
      </c>
      <c r="K73" s="3" t="s">
        <v>1183</v>
      </c>
      <c r="L73" s="3" t="s">
        <v>323</v>
      </c>
      <c r="M73" s="3" t="s">
        <v>1184</v>
      </c>
      <c r="N73" s="3" t="s">
        <v>1185</v>
      </c>
      <c r="O73" s="3" t="s">
        <v>48</v>
      </c>
      <c r="P73" s="3" t="s">
        <v>1186</v>
      </c>
      <c r="Q73" s="3" t="s">
        <v>815</v>
      </c>
      <c r="R73" s="3" t="s">
        <v>52</v>
      </c>
      <c r="S73" s="3" t="s">
        <v>51</v>
      </c>
      <c r="T73" s="3" t="s">
        <v>51</v>
      </c>
      <c r="U73" s="1" t="s">
        <v>1187</v>
      </c>
      <c r="V73" s="3" t="s">
        <v>1188</v>
      </c>
      <c r="W73" s="3" t="s">
        <v>42</v>
      </c>
      <c r="X73" s="3" t="s">
        <v>42</v>
      </c>
      <c r="Y73" s="3" t="s">
        <v>1189</v>
      </c>
      <c r="Z73" s="3" t="s">
        <v>1190</v>
      </c>
      <c r="AA73" s="3" t="s">
        <v>1191</v>
      </c>
      <c r="AB73" s="3" t="s">
        <v>1192</v>
      </c>
      <c r="AC73" s="3" t="s">
        <v>1193</v>
      </c>
      <c r="AD73" s="3"/>
      <c r="AE73" s="3" t="s">
        <v>60</v>
      </c>
      <c r="AF73" s="10">
        <v>46224</v>
      </c>
      <c r="AG73" s="3" t="s">
        <v>117</v>
      </c>
      <c r="AH73" s="3" t="s">
        <v>62</v>
      </c>
      <c r="AI73" s="3"/>
      <c r="AJ73" s="3" t="str">
        <f t="shared" si="2"/>
        <v>epa superfund data and reports / npl sites epa official national repository and search system for identifying active and archived superfund sites and examining site location, national priorities list status, contaminants, affected media, site assessment, cleanup actions, remedies, enforcement activities, and remediation progress. public sems search, npl site tables and maps, site profiles, downloadable reports, document collections, and separate geospatial boundary data; bulk products are distributed across multiple epa pages and formats. open/public environmental exposure sdoh/geospatial; contaminated sites; hazardous waste; superfund; environmental justice; cleanup and remediation; facility-level data; soil contamination; groundwater contamination; historical data epa superfund; sems; superfund enterprise management system; national priorities list; npl; cercla; hazardous waste site; contaminated site; cleanup site; remediation; contaminant of concern; groundwater contamination; soil contamination; sediment contamination; site assessment; record of decision; operable unit; superfund alternative approach; environmental justice; site proximity geospatial/area-level hazardous-waste sites; contaminated land; soil contamination; groundwater contamination; surface-water contamination; sediment contamination; site assessment; remediation; cleanup status; contaminants of concern; institutional controls; engineering controls; enforcement and settlements residents and communities located near active, archived, proposed, final, or deleted superfund and related hazardous-waste sites in the united states and territories united states superfund site; facility; site boundary; county; state facility/provider high sems epa id; site name; alternate site name; address; city; county; state; zip code; latitude; longitude; fips code; epa region; federal-facility indicator; npl status; non-npl status; archived status; proposed, listing, deletion, and action dates; contaminant name; affected environmental medium; operable unit; cleanup action; remedy decision; institutional or engineering control; enforcement or settlement information identify contaminated sites near communities, residential areas, or health-service locations; construct superfund-site proximity measures; examine whether hiv or other health disparities cluster near hazardous-waste sites; characterize contaminant and affected-media profiles; study cleanup and remediation timelines; assess environmental-justice patterns; identify sites for detailed document or exposure review epa facility registry service; epa echo; epa ejscreen; cdc/atsdr environmental justice index; epa toxics release inventory; epa risk-screening environmental indicators; epa rcrainfo; epa cleanups in my community; american community survey; census tiger/line; south carolina environmental cleanup data sems is an administrative site-assessment and remediation system rather than a standardized exposure or health-risk dataset. inclusion of a site does not establish that nearby residents were exposed or that current contamination remains. site status, contaminants, affected media, coordinates, and boundaries may change as investigations proceed. data completeness varies by site and cleanup stage. npl sites represent only a subset of contaminated or hazardous-waste locations. a point coordinate may not represent the full contaminated area, while boundary data are unavailable for some sites. reports and extracts use different formats and may require substantial cleaning and reconciliation. public site- and area-level environmental information with no identifiable individual health records. linking site locations to protected hiv, clinical, claims, or surveillance data requires compliance with the confidentiality, geocoding, suppression, irb, and data-use requirements of the health dataset. site proximity must not be interpreted as confirmed personal exposure. document the sems extraction date, npl-status definition, site inclusion criteria, coordinate or boundary source, distance method, and treatment of archived or deleted sites.</v>
      </c>
    </row>
    <row r="74" spans="1:36" ht="85.5" customHeight="1">
      <c r="A74" s="1" t="s">
        <v>1194</v>
      </c>
      <c r="B74" t="s">
        <v>1195</v>
      </c>
      <c r="C74" s="3" t="s">
        <v>1056</v>
      </c>
      <c r="D74" s="4" t="s">
        <v>1196</v>
      </c>
      <c r="E74" s="1" t="s">
        <v>1197</v>
      </c>
      <c r="F74" s="3" t="s">
        <v>1198</v>
      </c>
      <c r="G74" s="3" t="s">
        <v>224</v>
      </c>
      <c r="H74" s="3" t="s">
        <v>62</v>
      </c>
      <c r="I74" s="3" t="s">
        <v>339</v>
      </c>
      <c r="J74" s="3" t="s">
        <v>1199</v>
      </c>
      <c r="K74" s="3" t="s">
        <v>1200</v>
      </c>
      <c r="L74" s="3" t="s">
        <v>323</v>
      </c>
      <c r="M74" s="3" t="s">
        <v>1201</v>
      </c>
      <c r="N74" s="3" t="s">
        <v>1202</v>
      </c>
      <c r="O74" s="3" t="s">
        <v>48</v>
      </c>
      <c r="P74" s="3" t="s">
        <v>1203</v>
      </c>
      <c r="Q74" s="3" t="s">
        <v>49</v>
      </c>
      <c r="R74" s="3" t="s">
        <v>52</v>
      </c>
      <c r="S74" s="3" t="s">
        <v>51</v>
      </c>
      <c r="T74" s="3" t="s">
        <v>52</v>
      </c>
      <c r="U74" s="1" t="s">
        <v>1204</v>
      </c>
      <c r="V74" s="3" t="s">
        <v>1205</v>
      </c>
      <c r="W74" s="3" t="s">
        <v>42</v>
      </c>
      <c r="X74" s="3" t="s">
        <v>42</v>
      </c>
      <c r="Y74" s="3" t="s">
        <v>1206</v>
      </c>
      <c r="Z74" s="3" t="s">
        <v>1207</v>
      </c>
      <c r="AA74" s="3" t="s">
        <v>1208</v>
      </c>
      <c r="AB74" s="3" t="s">
        <v>1209</v>
      </c>
      <c r="AC74" s="3" t="s">
        <v>1210</v>
      </c>
      <c r="AD74" s="3"/>
      <c r="AE74" s="3" t="s">
        <v>51</v>
      </c>
      <c r="AF74" s="10">
        <v>46225</v>
      </c>
      <c r="AG74" s="3" t="s">
        <v>117</v>
      </c>
      <c r="AH74" s="3" t="s">
        <v>62</v>
      </c>
      <c r="AI74" s="3"/>
      <c r="AJ74" s="3" t="e">
        <f>LOWER(_xlfn.SINGLE(_xlfn.TEXTJOIN(" ", TRUE,#REF!, C74, E74, F74, G74, I74, J74, K74, L74, M74, N74, O74, P74, Q74, X74, Y74, Z74, AA74, AB74, AC74, AD74)))</f>
        <v>#REF!</v>
      </c>
    </row>
    <row r="75" spans="1:36" ht="71.25" customHeight="1">
      <c r="A75" s="1" t="s">
        <v>1211</v>
      </c>
      <c r="B75" s="8" t="s">
        <v>1212</v>
      </c>
      <c r="C75" s="3" t="s">
        <v>1056</v>
      </c>
      <c r="D75" s="13" t="s">
        <v>1213</v>
      </c>
      <c r="E75" s="12" t="s">
        <v>1214</v>
      </c>
      <c r="F75" s="3" t="s">
        <v>1215</v>
      </c>
      <c r="G75" s="3" t="s">
        <v>455</v>
      </c>
      <c r="H75" s="3" t="s">
        <v>137</v>
      </c>
      <c r="I75" s="3" t="s">
        <v>810</v>
      </c>
      <c r="J75" s="3" t="s">
        <v>1216</v>
      </c>
      <c r="K75" s="3" t="s">
        <v>1217</v>
      </c>
      <c r="L75" s="3" t="s">
        <v>323</v>
      </c>
      <c r="M75" s="3" t="s">
        <v>1218</v>
      </c>
      <c r="N75" s="3" t="s">
        <v>1219</v>
      </c>
      <c r="O75" s="3" t="s">
        <v>48</v>
      </c>
      <c r="P75" s="3" t="s">
        <v>1220</v>
      </c>
      <c r="Q75" s="3" t="s">
        <v>49</v>
      </c>
      <c r="R75" s="3" t="s">
        <v>52</v>
      </c>
      <c r="S75" s="3" t="s">
        <v>51</v>
      </c>
      <c r="T75" s="3" t="s">
        <v>51</v>
      </c>
      <c r="U75" s="1" t="s">
        <v>1221</v>
      </c>
      <c r="V75" s="3" t="s">
        <v>1222</v>
      </c>
      <c r="W75" s="3" t="s">
        <v>42</v>
      </c>
      <c r="X75" s="3" t="s">
        <v>42</v>
      </c>
      <c r="Y75" s="3" t="s">
        <v>1223</v>
      </c>
      <c r="Z75" s="3" t="s">
        <v>1224</v>
      </c>
      <c r="AA75" s="3" t="s">
        <v>1225</v>
      </c>
      <c r="AB75" s="3" t="s">
        <v>1226</v>
      </c>
      <c r="AC75" s="3" t="s">
        <v>1227</v>
      </c>
      <c r="AD75" s="3"/>
      <c r="AE75" s="3" t="s">
        <v>60</v>
      </c>
      <c r="AF75" s="10">
        <v>46225</v>
      </c>
      <c r="AG75" s="3" t="s">
        <v>117</v>
      </c>
      <c r="AH75" s="3" t="s">
        <v>62</v>
      </c>
      <c r="AI75" s="3"/>
      <c r="AJ75" s="3" t="str">
        <f>LOWER(_xlfn.SINGLE(_xlfn.TEXTJOIN(" ", TRUE, B75, C75, E75, F75, G75, I75, J75, K75, L75, M75, N75, O75, P75, Q75, X75, Y75, Z75, AA75, AB75, AC75, AD75)))</f>
        <v>epa brownfields site information epa public property-level information on brownfields addressed using epa funding or technical assistance, including property location, assessment activities, potential or confirmed contamination, cleanup progress, controls, redevelopment, and reuse accomplishments. public map, searchable property profiles, excel and csv downloads through cleanups in my community; full acres reporting system restricted to epa brownfields staff and authorized grant or contract recipients. open plus controlled data environmental exposure sdoh/geospatial; brownfields; contaminated sites; land revitalization; environmental justice; cleanup and remediation; redevelopment; property-level data; community development epa brownfields; acres; assessment cleanup and redevelopment exchange system; cleanups in my community; cimc; brownfield property; contaminated property; potentially contaminated site; site assessment; phase i assessment; phase ii assessment; cleanup completed; ready for reuse; redevelopment; land revitalization; institutional controls; engineering controls; brownfields grants; site proximity; south carolina brownfields geospatial/area-level brownfield properties; potentially contaminated land; property assessment; soil contamination; groundwater contamination; surface-water contamination; cleanup and remediation; institutional controls; engineering controls; land reuse; redevelopment; community revitalization; environmental justice residents and communities surrounding properties assessed, cleaned up, or redeveloped using epa brownfields funding or technical assistance united states brownfield property or site; grant jurisdiction; address; county; state other high property name; acres or program identifier; frs registry id where available; street address; city; county; state; zip code; latitude; longitude; census tract; property acreage; grant recipient; cooperative agreement or funding source; grant type; assessment activity and date; contaminants; affected environmental media; cleanup activity; cleanup-completion status; institutional controls; engineering controls; ready-for-reuse status; redevelopment activity; leveraged funding; property accomplishments locate epa-supported brownfields properties; construct property-proximity or buffer measures; characterize assessment, contamination, cleanup, and redevelopment status; examine whether brownfields are concentrated in socially vulnerable communities; study neighborhood context for hiv and other health disparities; identify properties near health-care or community-service locations; assess cleanup and reuse progress; link brownfields sites to demographic, environmental, and health indicators; identify sites requiring more detailed state or local review enviroatlas for brownfields; epa facility registry service; epa cleanups in my community; epa ejscreen; cdc/atsdr environmental justice index; american community survey; census tiger/line; epa echo; epa superfund enterprise management system; epa rcrainfo; epa toxics release inventory; state and tribal brownfields or voluntary-cleanup inventories; south carolina department of environmental services cleanup data not a comprehensive inventory of every brownfield or potentially contaminated property in the united states. public records primarily include properties benefiting from epa brownfields funding or technical assistance; state-funded, locally funded, privately managed, or otherwise unreported sites may be absent. a property can qualify as a brownfield because of potential contamination, so inclusion does not establish that contamination was confirmed. property reporting varies in completeness and timing. public records may describe administrative milestones rather than measured contaminant concentrations. multiple rows may represent the same property when it has multiple funding sources or accomplishments. coordinates may not represent the full property boundary. property proximity does not establish individual exposure or health risk. public property- and area-level environmental information contains no identifiable individual health records. the underlying acres entry system is restricted to authorized epa personnel and brownfields grant or contract recipients. linking brownfields locations to protected hiv, clinical, claims, or surveillance data requires compliance with the confidentiality, geocoding, suppression, irb, and data-use requirements of the health dataset. do not interpret residence near a listed property as confirmed exposure. document the extraction date, property-selection criteria, coordinate source, buffer or distance method, cleanup-status definition, and handling of duplicate property records.</v>
      </c>
    </row>
    <row r="76" spans="1:36" ht="71.25" customHeight="1">
      <c r="A76" s="1" t="s">
        <v>1228</v>
      </c>
      <c r="B76" s="9" t="s">
        <v>1229</v>
      </c>
      <c r="C76" s="3" t="s">
        <v>1056</v>
      </c>
      <c r="D76" s="4" t="s">
        <v>1230</v>
      </c>
      <c r="E76" s="1" t="s">
        <v>1231</v>
      </c>
      <c r="F76" s="3" t="s">
        <v>1232</v>
      </c>
      <c r="G76" s="3" t="s">
        <v>224</v>
      </c>
      <c r="H76" s="3" t="s">
        <v>62</v>
      </c>
      <c r="I76" s="3" t="s">
        <v>810</v>
      </c>
      <c r="J76" s="3" t="s">
        <v>1233</v>
      </c>
      <c r="K76" s="3" t="s">
        <v>1234</v>
      </c>
      <c r="L76" s="3" t="s">
        <v>795</v>
      </c>
      <c r="M76" s="3" t="s">
        <v>1235</v>
      </c>
      <c r="N76" s="3" t="s">
        <v>1236</v>
      </c>
      <c r="O76" s="3" t="s">
        <v>48</v>
      </c>
      <c r="P76" s="3" t="s">
        <v>1237</v>
      </c>
      <c r="Q76" s="3" t="s">
        <v>49</v>
      </c>
      <c r="R76" s="3" t="s">
        <v>52</v>
      </c>
      <c r="S76" s="3" t="s">
        <v>51</v>
      </c>
      <c r="T76" s="3" t="s">
        <v>51</v>
      </c>
      <c r="U76" s="1" t="s">
        <v>1238</v>
      </c>
      <c r="V76" s="3" t="s">
        <v>1239</v>
      </c>
      <c r="W76" s="3" t="s">
        <v>42</v>
      </c>
      <c r="X76" s="3" t="s">
        <v>42</v>
      </c>
      <c r="Y76" s="3" t="s">
        <v>1240</v>
      </c>
      <c r="Z76" s="3" t="s">
        <v>1241</v>
      </c>
      <c r="AA76" s="3" t="s">
        <v>1242</v>
      </c>
      <c r="AB76" s="3" t="s">
        <v>1243</v>
      </c>
      <c r="AC76" s="3" t="s">
        <v>1244</v>
      </c>
      <c r="AD76" s="3"/>
      <c r="AE76" s="3" t="s">
        <v>51</v>
      </c>
      <c r="AF76" s="10">
        <v>46224</v>
      </c>
      <c r="AG76" s="3" t="s">
        <v>117</v>
      </c>
      <c r="AH76" s="3" t="s">
        <v>42</v>
      </c>
      <c r="AI76" s="3" t="s">
        <v>63</v>
      </c>
      <c r="AJ76" s="3" t="str">
        <f>LOWER(_xlfn.SINGLE(_xlfn.TEXTJOIN(" ", TRUE, B76, C76, E76, F76, G76, I76, J76, K76, L76, M76, N76, O76, P76, Q76, X76, Y76, Z76, AA76, AB76, AC76, AD76)))</f>
        <v>water quality portal (wqp) epa national portal for discovering, querying, and downloading discrete physical, chemical, biological, and habitat-related water-quality monitoring results from epa, usgs, and state, tribal, federal, local, academic, watershed, and volunteer monitoring programs. public web query, downloadable csv, tab-delimited and excel files, geospatial services, and public rest web services; no registration required for data retrieval. open/public environmental exposure water quality; environmental monitoring; surface water; groundwater; sdoh/geospatial; aquatic ecosystems; drinking water; biological monitoring; monitoring-site data; time-series data water quality portal; wqp; water quality exchange; wqx; usgs nwis; water monitoring; surface water; groundwater; drinking water; stream; river; lake; reservoir; estuary; coastal water; monitoring station; sampling site; water chemistry; nutrients; metals; pfas; pesticides; pathogens; bacteria; biological monitoring; habitat; sediment; south carolina water quality environmental water chemistry; surface-water quality; groundwater quality; nutrients; metals; organic chemicals; pfas; pesticides; pharmaceuticals; pathogens; bacteria; physical water characteristics; sediment; aquatic biology; habitat assessment; drinking-water source quality; watershed condition water bodies, groundwater resources, sediments, aquatic organisms, and other environmental media represented by samples collected at monitoring locations united states monitoring site; water body; watershed/huc; county; state; other high contributing organization; monitoring-location identifier; monitoring-location name; site type; latitude; longitude; state; county; watershed/huc; sampling date and time; activity type; sample medium; characteristic name; result value; result unit; detection or reporting limit; analytical method; laboratory; sample depth; biological taxon; habitat measure; quality-assurance information; result status; data-source system identify water-monitoring locations and available contaminants; characterize surface-water or groundwater quality near communities; analyze temporal trends in nutrients, metals, pfas, pesticides, pathogens, or other constituents; examine environmental context for hiv and other health-disparity research; assess upstream or watershed conditions near drinking-water sources; compare south carolina watersheds or counties; support exposure screening, ecological research, and environmental-justice analyses epa water quality exchange; usgs national water information system; epa how's my waterway; epa attains; epa national hydrography dataset plus; epa safe drinking water information system; epa ucmr occurrence data; epa echo; epa ejscreen; cdc/atsdr environmental justice index; noaa climate data; american community survey; south carolina department of environmental services water-quality data data are contributed by many organizations and vary in sampling design, analytical methods, detection limits, units, quality-assurance procedures, monitoring frequency, and completeness. monitoring sites are not evenly distributed, and the absence of results does not establish the absence of contamination. discrete samples may not represent continuous conditions, short-term peaks, household tap-water exposure, or individual exposure. non-detects and censored values require careful treatment. results should not automatically be interpreted as regulatory violations or health risks. large or broad queries may require substantial processing and harmonization. public environmental monitoring data with no identifiable individual health records. researchers linking monitoring results to protected hiv, clinical, claims, or surveillance records must follow the confidentiality, geocoding, suppression, irb, and data-use requirements of the health dataset. document the contributing organization, site-selection method, sampling period, characteristic names, units, detection-limit treatment, analytical methods, quality flags, and extraction date.</v>
      </c>
    </row>
    <row r="77" spans="1:36" ht="114" customHeight="1">
      <c r="A77" s="1" t="s">
        <v>1245</v>
      </c>
      <c r="B77" s="9" t="s">
        <v>1246</v>
      </c>
      <c r="C77" s="3" t="s">
        <v>1247</v>
      </c>
      <c r="D77" s="14" t="s">
        <v>1248</v>
      </c>
      <c r="E77" s="12" t="s">
        <v>1249</v>
      </c>
      <c r="F77" t="s">
        <v>1250</v>
      </c>
      <c r="G77" t="s">
        <v>224</v>
      </c>
      <c r="H77" t="s">
        <v>137</v>
      </c>
      <c r="I77" s="3" t="s">
        <v>810</v>
      </c>
      <c r="J77" s="3" t="s">
        <v>1251</v>
      </c>
      <c r="K77" s="3" t="s">
        <v>1252</v>
      </c>
      <c r="L77" s="3" t="s">
        <v>290</v>
      </c>
      <c r="M77" s="3" t="s">
        <v>1253</v>
      </c>
      <c r="N77" s="3" t="s">
        <v>1254</v>
      </c>
      <c r="O77" s="3" t="s">
        <v>48</v>
      </c>
      <c r="P77" s="3" t="s">
        <v>1255</v>
      </c>
      <c r="Q77" s="3" t="s">
        <v>294</v>
      </c>
      <c r="R77" s="3" t="s">
        <v>52</v>
      </c>
      <c r="S77" s="3" t="s">
        <v>51</v>
      </c>
      <c r="T77" s="3" t="s">
        <v>51</v>
      </c>
      <c r="U77" s="1" t="s">
        <v>1256</v>
      </c>
      <c r="V77" s="3" t="s">
        <v>1257</v>
      </c>
      <c r="W77" s="3" t="s">
        <v>62</v>
      </c>
      <c r="X77" s="3" t="s">
        <v>42</v>
      </c>
      <c r="Y77" s="3" t="s">
        <v>1258</v>
      </c>
      <c r="Z77" s="3" t="s">
        <v>1259</v>
      </c>
      <c r="AA77" s="3" t="s">
        <v>1260</v>
      </c>
      <c r="AB77" s="3" t="s">
        <v>1261</v>
      </c>
      <c r="AC77" s="3" t="s">
        <v>1262</v>
      </c>
      <c r="AD77" s="3"/>
      <c r="AE77" s="3" t="s">
        <v>60</v>
      </c>
      <c r="AF77" s="10">
        <v>46225</v>
      </c>
      <c r="AG77" s="3" t="s">
        <v>117</v>
      </c>
      <c r="AH77" s="3" t="s">
        <v>62</v>
      </c>
      <c r="AI77" s="3"/>
      <c r="AJ77" s="3" t="str">
        <f>LOWER(_xlfn.SINGLE(_xlfn.TEXTJOIN(" ", TRUE, B77, C77, E78, F78, G78, I77, J77, K77, L77, M77, N77, O77, P77, Q77, X77, Y77, Z77, AA77, AB77, AC77, AD77)))</f>
        <v>how's my waterway epa / data.gov national system for accessing state-, territory-, and authorized tribal assessments of surface-water condition, designated-use support, impaired-water decisions, causes and probable sources of impairment, total maximum daily loads, restoration plans, and protection approaches under the clean water act. public expert query, downloadable excel and csv extracts, rest/json web services, arcgis geospatial services, and national geospatial exports; some web-service workflows are transitioning to a free api key. the data-submission and review interface is restricted to registered state, tribal, and epa users. open/public environmental exposure reports/dashboard; sdoh/geospatial; water quality; watersheds; impaired waters; drinking water; permitted dischargers; water monitoring; restoration; environmental justice; public communication epa how's my waterway; local water quality; watershed condition; community water report; swimming water quality; fish consumption; aquatic life; impaired water; 303(d); tmdl; permitted discharger; discharge violation; drinking water; water monitoring; monitoring station; cyanobacteria; harmful algal bloom; watershed restoration; huc12; south carolina water quality reports/dashboard surface-water condition; swimming; fish consumption; aquatic life; impairments; causes of impairment; restoration and protection; permitted wastewater dischargers; discharge violations; drinking-water systems; water monitoring; cyanobacteria; watershed health; state and national water metrics residents, water users, and communities associated with u.s. watersheds, waterbodies, states, territories, and tribal areas represented in the application united states huc12 watershed; waterbody; community; state; tribal area; national report/dashboard high selected huc12 watershed; waterbody name; waterbody condition; designated uses; use-support status; assessed and impaired-water status; cause of impairment; 303(d) listing status; tmdl and restoration actions; swimming and fish-consumption information; aquatic-life condition; permitted discharger name and permit type; discharge violations; monitoring-location identifier; monitored characteristic; result date and value; drinking-water system information; state drinking-water metrics; cyanobacteria estimates; watershed health and protection indicators rapidly profile water conditions in a community or watershed; identify impaired waters and relevant designated uses; explore swimming, fishing, and aquatic-life concerns; locate permitted dischargers and reported violations; identify nearby monitoring stations and available characteristics; review restoration and protection activities; communicate findings to community partners; generate hypotheses before downloading data from attains, wqp, echo, or drinking-water systems; support public-health and environmental-justice demonstrations epa attains; water quality portal; epa echo and npdes data; epa safe drinking water information system; epa waters/nhdplus; epa cyan; epa beacon; epa national aquatic resource surveys; epa recovery potential screening; epa enviroatlas; american community survey; south carolina department of environmental services water data integrated dashboard rather than one standardized dataset. its components come from multiple agencies and epa systems with different definitions, geographic units, methods, coverage, and refresh schedules. epa cautions that more recent or detailed information may exist outside the application. dashboard categories may simplify or roll up the original state-reported information. monitoring-site coverage is uneven, and displayed results do not establish individual exposure, regulatory noncompliance, or health risk. maps and reports are useful for discovery and communication, but substantive analyses should retrieve and document the underlying source records. public dashboard and area-level information with no identifiable individual health records. linking dashboard-derived geographic indicators to protected hiv, clinical, claims, or surveillance data requires compliance with the governance requirements of the health dataset. avoid treating watershed or community conditions as individual attributes. document the selected location, watershed, dashboard section, originating dataset, extraction date, reporting period, and spatial-linkage method.</v>
      </c>
    </row>
    <row r="78" spans="1:36" ht="85.5" customHeight="1">
      <c r="A78" s="1" t="s">
        <v>1263</v>
      </c>
      <c r="B78" s="8" t="s">
        <v>1264</v>
      </c>
      <c r="C78" s="3" t="s">
        <v>1247</v>
      </c>
      <c r="D78" s="4" t="s">
        <v>1265</v>
      </c>
      <c r="E78" s="1" t="s">
        <v>1266</v>
      </c>
      <c r="F78" s="3" t="s">
        <v>1267</v>
      </c>
      <c r="G78" s="3" t="s">
        <v>224</v>
      </c>
      <c r="H78" s="3" t="s">
        <v>62</v>
      </c>
      <c r="I78" s="3" t="s">
        <v>810</v>
      </c>
      <c r="J78" s="3" t="s">
        <v>1268</v>
      </c>
      <c r="K78" s="3" t="s">
        <v>1269</v>
      </c>
      <c r="L78" s="3" t="s">
        <v>323</v>
      </c>
      <c r="M78" s="3" t="s">
        <v>1270</v>
      </c>
      <c r="N78" s="3" t="s">
        <v>1271</v>
      </c>
      <c r="O78" s="3" t="s">
        <v>48</v>
      </c>
      <c r="P78" s="3" t="s">
        <v>1272</v>
      </c>
      <c r="Q78" s="3" t="s">
        <v>49</v>
      </c>
      <c r="R78" s="3" t="s">
        <v>52</v>
      </c>
      <c r="S78" s="3" t="s">
        <v>51</v>
      </c>
      <c r="T78" s="3" t="s">
        <v>51</v>
      </c>
      <c r="U78" s="1" t="s">
        <v>1273</v>
      </c>
      <c r="V78" s="3" t="s">
        <v>1274</v>
      </c>
      <c r="W78" s="3" t="s">
        <v>42</v>
      </c>
      <c r="X78" s="3" t="s">
        <v>42</v>
      </c>
      <c r="Y78" s="3" t="s">
        <v>1275</v>
      </c>
      <c r="Z78" s="3" t="s">
        <v>1276</v>
      </c>
      <c r="AA78" s="3" t="s">
        <v>1277</v>
      </c>
      <c r="AB78" s="3" t="s">
        <v>1278</v>
      </c>
      <c r="AC78" s="3" t="s">
        <v>1279</v>
      </c>
      <c r="AD78" s="3"/>
      <c r="AE78" s="3" t="s">
        <v>60</v>
      </c>
      <c r="AF78" s="10">
        <v>46225</v>
      </c>
      <c r="AG78" s="3" t="s">
        <v>117</v>
      </c>
      <c r="AH78" s="3" t="s">
        <v>42</v>
      </c>
      <c r="AI78" s="3" t="s">
        <v>63</v>
      </c>
      <c r="AJ78" s="3" t="e">
        <f>LOWER(_xlfn.SINGLE(_xlfn.TEXTJOIN(" ", TRUE, B78, C78,#REF!,#REF!,#REF!, I78, J78, K78, L78, M78, N78, O78, P78, Q78, X78, Y78, Z78, AA78, AB78, AC78, AD78)))</f>
        <v>#REF!</v>
      </c>
    </row>
    <row r="79" spans="1:36" ht="85.5" customHeight="1">
      <c r="A79" s="1" t="s">
        <v>1280</v>
      </c>
      <c r="B79" s="9" t="s">
        <v>1281</v>
      </c>
      <c r="C79" s="3" t="s">
        <v>1282</v>
      </c>
      <c r="D79" s="4" t="s">
        <v>1283</v>
      </c>
      <c r="E79" s="1" t="s">
        <v>1284</v>
      </c>
      <c r="F79" s="3" t="s">
        <v>1285</v>
      </c>
      <c r="G79" s="3" t="s">
        <v>224</v>
      </c>
      <c r="H79" s="3" t="s">
        <v>62</v>
      </c>
      <c r="I79" s="3" t="s">
        <v>810</v>
      </c>
      <c r="J79" s="3" t="s">
        <v>1286</v>
      </c>
      <c r="K79" s="3" t="s">
        <v>1287</v>
      </c>
      <c r="L79" s="3" t="s">
        <v>323</v>
      </c>
      <c r="M79" s="3" t="s">
        <v>1288</v>
      </c>
      <c r="N79" s="3" t="s">
        <v>1289</v>
      </c>
      <c r="O79" s="3" t="s">
        <v>48</v>
      </c>
      <c r="P79" s="3" t="s">
        <v>1290</v>
      </c>
      <c r="Q79" s="3" t="s">
        <v>49</v>
      </c>
      <c r="R79" s="3" t="s">
        <v>52</v>
      </c>
      <c r="S79" s="3" t="s">
        <v>51</v>
      </c>
      <c r="T79" s="3" t="s">
        <v>52</v>
      </c>
      <c r="U79" s="1" t="s">
        <v>1291</v>
      </c>
      <c r="V79" s="3" t="s">
        <v>1292</v>
      </c>
      <c r="W79" s="3" t="s">
        <v>42</v>
      </c>
      <c r="X79" s="3" t="s">
        <v>42</v>
      </c>
      <c r="Y79" s="3" t="s">
        <v>1293</v>
      </c>
      <c r="Z79" s="3" t="s">
        <v>1294</v>
      </c>
      <c r="AA79" s="3" t="s">
        <v>1295</v>
      </c>
      <c r="AB79" s="3" t="s">
        <v>1296</v>
      </c>
      <c r="AC79" s="3" t="s">
        <v>1297</v>
      </c>
      <c r="AD79" s="3"/>
      <c r="AE79" s="3" t="s">
        <v>60</v>
      </c>
      <c r="AF79" s="10">
        <v>46225</v>
      </c>
      <c r="AG79" s="3" t="s">
        <v>117</v>
      </c>
      <c r="AH79" s="3" t="s">
        <v>62</v>
      </c>
      <c r="AI79" s="3" t="s">
        <v>63</v>
      </c>
      <c r="AJ79" s="3" t="str">
        <f>LOWER(_xlfn.SINGLE(_xlfn.TEXTJOIN(" ", TRUE, B79, C79, E79, F79, G79, I79, J79, K79, L79, M79, N79, O79, P79, Q79, X79, Y79, Z79, AA79, AB79, AC79, AD79)))</f>
        <v>epa waters geospatial data usgs / epa / nwqmc national geospatial framework providing hydrologically connected gis datasets, stream networks, catchments, watersheds, assessment units, and linked epa water-program layers for watershed delineation, upstream/downstream tracing, spatial analysis, and integration of epa water data. public geodatabases, shapefiles, feature services, arcgis rest services, downloadable gis layers, and web services. open/public environmental exposure sdoh/geospatial; hydrography; watersheds; stream network; gis; nhdplus; catchments; water resources; spatial analysis; hydrologic modeling epa waters; watershed assessment tracking and environmental results system; nhdplus; hydrologic network; stream reach; flowline; catchment; watershed; huc; watershed delineation; upstream downstream analysis; hydrologic tracing; geospatial water data; gis water layers; epa hydrography; waterbody polygons; assessment units geospatial/area-level hydrography; stream networks; watersheds; catchments; hydrologic connectivity; waterbody geometry; assessment-unit boundaries; watershed delineation; flow-path analysis; gis integration; environmental spatial analysis surface-water features and hydrologic units represented in the national hydrographic network united states stream reach; flowline; catchment; watershed/huc; assessment unit; waterbody other high nhdplus comid; reachcode; gnis identifier; huc2/huc4/huc8/huc10/huc12; stream name; flow direction; stream order; catchment identifier; watershed identifier; assessment-unit identifier; geometry; latitude; longitude; linked attains assessment units; linked monitoring locations; linked npdes facilities; linked epa water-program identifiers create watershed and catchment boundaries; perform upstream/downstream tracing; delineate contributing watersheds; spatially join environmental and health data to hydrologic units; identify stream networks connected to monitoring stations, impaired waters, or discharge locations; prepare gis analyses and maps; support watershed-scale environmental-health studies epa attains; epa how's my waterway; water quality portal; epa nhdplus; epa echo/npdes; epa safe drinking water information system; epa enviroatlas; usgs national hydrography dataset; american community survey; census tiger/line waters is a geospatial infrastructure resource rather than a water-quality monitoring or regulatory database. most downloaded layers contain geometry, identifiers, and spatial relationships instead of contaminant measurements or assessment results. some linked datasets are maintained separately and may update on different schedules. watershed boundaries, hydrography, and assessment units may change between versions. spatial proximity or hydrologic connectivity should not be interpreted as evidence of contaminant transport or human exposure without supporting environmental data. public geospatial data with no identifiable individual health records. when linking waters layers to protected hiv, clinical, claims, or surveillance data, follow applicable confidentiality, geocoding, suppression, irb, and data-use requirements. document the waters version, nhdplus version, coordinate system, geographic layer used, and spatial-linkage method.</v>
      </c>
    </row>
    <row r="80" spans="1:36" ht="85.5" customHeight="1">
      <c r="A80" s="1" t="s">
        <v>1298</v>
      </c>
      <c r="B80" s="8" t="s">
        <v>1299</v>
      </c>
      <c r="C80" s="3" t="s">
        <v>1056</v>
      </c>
      <c r="D80" s="4" t="s">
        <v>1300</v>
      </c>
      <c r="E80" s="1" t="s">
        <v>1301</v>
      </c>
      <c r="F80" s="3" t="s">
        <v>1302</v>
      </c>
      <c r="G80" s="3" t="s">
        <v>224</v>
      </c>
      <c r="H80" s="3" t="s">
        <v>62</v>
      </c>
      <c r="I80" s="3" t="s">
        <v>810</v>
      </c>
      <c r="J80" s="3" t="s">
        <v>1303</v>
      </c>
      <c r="K80" s="3" t="s">
        <v>1304</v>
      </c>
      <c r="L80" s="3" t="s">
        <v>795</v>
      </c>
      <c r="M80" s="3" t="s">
        <v>1305</v>
      </c>
      <c r="N80" s="3" t="s">
        <v>1306</v>
      </c>
      <c r="O80" s="3" t="s">
        <v>48</v>
      </c>
      <c r="P80" s="3" t="s">
        <v>1307</v>
      </c>
      <c r="Q80" s="3" t="s">
        <v>49</v>
      </c>
      <c r="R80" s="3" t="s">
        <v>52</v>
      </c>
      <c r="S80" s="3" t="s">
        <v>51</v>
      </c>
      <c r="T80" s="3" t="s">
        <v>51</v>
      </c>
      <c r="U80" s="1" t="s">
        <v>1308</v>
      </c>
      <c r="V80" s="3" t="s">
        <v>1309</v>
      </c>
      <c r="W80" s="3" t="s">
        <v>42</v>
      </c>
      <c r="X80" s="3" t="s">
        <v>42</v>
      </c>
      <c r="Y80" s="3" t="s">
        <v>1310</v>
      </c>
      <c r="Z80" s="3" t="s">
        <v>1311</v>
      </c>
      <c r="AA80" s="3" t="s">
        <v>1312</v>
      </c>
      <c r="AB80" s="3" t="s">
        <v>1313</v>
      </c>
      <c r="AC80" s="3" t="s">
        <v>1314</v>
      </c>
      <c r="AD80" s="3"/>
      <c r="AE80" s="3" t="s">
        <v>51</v>
      </c>
      <c r="AF80" s="10">
        <v>46226</v>
      </c>
      <c r="AG80" s="3" t="s">
        <v>117</v>
      </c>
      <c r="AH80" s="3" t="s">
        <v>42</v>
      </c>
      <c r="AI80" s="3" t="s">
        <v>63</v>
      </c>
      <c r="AJ80" s="3" t="str">
        <f>LOWER(_xlfn.SINGLE(_xlfn.TEXTJOIN(" ", TRUE, B80, C80, E80, F80, G80, I80, J80, K80, L80, M80, N80, O80, P80, Q80, X80, Y80, Z80, AA80, AB80, AC80, AD80)))</f>
        <v>usgs water data for the nation / nwis epa national access system for current and historical usgs hydrologic and water-quality information collected at monitoring locations, including continuous sensor data, daily values, manual field measurements, discrete environmental samples, monitoring-site metadata, and derived statistics. public monitoring-location pages, maps, graphs, tables, data downloads, national water dashboard, rest/ogc apis, and r/python data-access tools; an api key is available for higher request-rate limits. open/public environmental exposure water quality; hydrology; surface water; groundwater; streamflow; water levels; environmental monitoring; sdoh/geospatial; monitoring-site data; time-series data; real-time data usgs water data for the nation; wdfn; national water information system; nwis; nwisweb; usgs water data; streamgage; streamflow; discharge; gage height; river level; lake level; reservoir level; groundwater level; well data; spring data; water quality; continuous data; instantaneous values; daily values; field measurements; discrete samples; national water dashboard; water data apis; south carolina water data environmental streamflow; river and stream levels; lakes and reservoirs; groundwater levels; wells and aquifers; floods; drought; precipitation; water temperature; physical water quality; chemical water quality; sediment; biological samples; hydrologic statistics surface waters, groundwater systems, and associated communities represented by usgs monitoring locations across u.s. states and territories united states monitoring location; streamgage; well; spring; lake or reservoir site; county; watershed/huc other high usgs monitoring-location identifier; station name; collecting agency; site type; site establishment date; latitude; longitude; state; county; hydrologic unit code; well depth; aquifer; parameter or observed-property name; parameter code; date and time; measured value; units; statistic code; qualifier; approval status; discharge or streamflow; gage height; lake or reservoir elevation; groundwater level; precipitation; water temperature; ph; specific conductance; dissolved oxygen; turbidity; nutrients; metals; pesticides; volatile organic compounds; sediment measurements; biological and tissue sample results monitor current river, lake, reservoir, and groundwater conditions; analyze long-term streamflow and groundwater trends; characterize floods and droughts; estimate hydrologic or water-quality exposures; examine relationships between water conditions and infectious, gastrointestinal, cardiovascular, or other health outcomes; assess environmental context for communities affected by hiv or other health disparities; link monitoring data with watersheds, permitted dischargers, demographics, climate, and health outcomes; support water-resource planning and environmental epidemiology water quality portal; usgs national water dashboard; epa waters/nhdplus; epa attains; epa how's my waterway; epa echo/npdes; epa safe drinking water information system; prism climate data; noaa climate and precipitation data; american community survey; south carolina department of environmental services water data monitoring locations are not evenly distributed, and available parameters, record lengths, sampling frequencies, and operating periods differ substantially by site. a monitoring-site measurement may not represent conditions throughout an entire stream, aquifer, watershed, drinking-water system, household, or individual. continuous and daily records may contain gaps caused by equipment failure, telemetry interruption, site changes, or discontinued monitoring. historical comparability can be affected by changes in instruments, methods, rating curves, site location, parameter definitions, or sampling practices. recent data may be provisional and subject to substantial revision following field inspection and quality review. discrete samples may have varying analytical methods, reporting limits, qualifiers, and sampling designs. large multi-site analyses require careful handling of parameter codes, statistic codes, units, approval status, and missingness. public environmental monitoring data with no identifiable individual health records. provisional values should be identified as such and should not be treated as final approved records for high-stakes decisions. researchers linking monitoring locations to protected hiv, clinical, claims, or surveillance records must follow the confidentiality, geocoding, suppression, irb, and data-use requirements of the health dataset. do not interpret a monitoring-site value as an individually measured exposure. document the monitoring locations, parameters, statistic codes, date range, approval status, extraction date, spatial-linkage method, and api or interface used.</v>
      </c>
    </row>
    <row r="81" spans="1:36" ht="85.5" customHeight="1">
      <c r="A81" s="1" t="s">
        <v>1315</v>
      </c>
      <c r="B81" s="9" t="s">
        <v>1316</v>
      </c>
      <c r="C81" s="3" t="s">
        <v>1056</v>
      </c>
      <c r="D81" s="4" t="s">
        <v>1317</v>
      </c>
      <c r="E81" s="1" t="s">
        <v>1318</v>
      </c>
      <c r="F81" s="3" t="s">
        <v>1319</v>
      </c>
      <c r="G81" s="3"/>
      <c r="H81" s="3"/>
      <c r="I81" t="s">
        <v>810</v>
      </c>
      <c r="J81" s="3" t="s">
        <v>1320</v>
      </c>
      <c r="K81" s="3" t="s">
        <v>1321</v>
      </c>
      <c r="L81" s="3" t="s">
        <v>795</v>
      </c>
      <c r="M81" s="3" t="s">
        <v>1322</v>
      </c>
      <c r="N81" s="3" t="s">
        <v>1323</v>
      </c>
      <c r="O81" s="3" t="s">
        <v>197</v>
      </c>
      <c r="P81" s="3" t="s">
        <v>1324</v>
      </c>
      <c r="Q81" s="3" t="s">
        <v>49</v>
      </c>
      <c r="R81" s="3" t="s">
        <v>52</v>
      </c>
      <c r="S81" s="3" t="s">
        <v>51</v>
      </c>
      <c r="T81" s="3" t="s">
        <v>51</v>
      </c>
      <c r="U81" s="1" t="s">
        <v>1325</v>
      </c>
      <c r="V81" s="3" t="s">
        <v>1326</v>
      </c>
      <c r="W81" s="3" t="s">
        <v>42</v>
      </c>
      <c r="X81" s="3" t="s">
        <v>42</v>
      </c>
      <c r="Y81" s="3" t="s">
        <v>1327</v>
      </c>
      <c r="Z81" s="3" t="s">
        <v>1328</v>
      </c>
      <c r="AA81" s="3" t="s">
        <v>1329</v>
      </c>
      <c r="AB81" s="3" t="s">
        <v>1330</v>
      </c>
      <c r="AC81" s="3" t="s">
        <v>1331</v>
      </c>
      <c r="AD81" s="3"/>
      <c r="AE81" s="3" t="s">
        <v>51</v>
      </c>
      <c r="AF81" s="10">
        <v>46225</v>
      </c>
      <c r="AG81" s="3"/>
      <c r="AH81" s="3" t="s">
        <v>62</v>
      </c>
      <c r="AI81" s="3"/>
      <c r="AJ81" s="3" t="str">
        <f>LOWER(_xlfn.SINGLE(_xlfn.TEXTJOIN(" ", TRUE, B81, C81, E81, F81, G81, I81, J81, K81, L81, M81, N81, O81, P81, Q81, X81, Y81, Z81, AA81, AB81, AC81, AD81)))</f>
        <v>noaa climate data online (cdo) epa portal for discovering and downloading observed historical weather and climate data and station metadata from multiple noaa/ncei collections, including daily, monthly, seasonal, annual, hourly, radar, precipitation, and climate-normal products. public search and mapping tools, free data orders and downloads, dataset-specific tools, bulk files, and web services; the cdo api requires a free email-issued token; certified copies for legal use may require payment. environmental exposure climate; weather; temperature; precipitation; wind; snow; humidity; climate normals; environmental monitoring; station data; time-series data; sdoh/geospatial noaa climate data online; noaa cdo; ncei; ncdc; historical weather; past weather; weather station; station history; ghcn-daily; ghcnd; global summary of the month; gsom; global summary of the year; gsoy; local climatological data; lcd; climate normals; daily summaries; hourly weather; precipitation; temperature; snowfall; wind; degree days; radar; south carolina weather environmental temperature; extreme heat; extreme cold; precipitation; heavy rainfall; drought-related conditions; snowfall; snow depth; wind; humidity; dew point; atmospheric pressure; degree days; climate normals; routine weather observations; radar observations weather-observing locations and surrounding land areas and populations worldwide global/international weather station; city; county; state; country, depending on dataset and search other high dataset identifier; station identifier; station name; station network; latitude; longitude; elevation; date and time; maximum temperature; minimum temperature; average temperature; precipitation; snowfall; snow depth; wind speed; wind direction; wind gust; dew point; relative humidity; sea-level pressure; station pressure; heating degree days; cooling degree days; weather type; climate normals; observation flags; source flags; quality-control flags assign observed weather exposures to residences, clinics, counties, or other study locations; analyze heat, cold, precipitation, humidity, snowfall, and wind; evaluate weather-related changes in mortality, morbidity, hiv clinic attendance, care access, or medication continuity; control for weather in air-pollution and infectious-disease models; calculate extreme-weather thresholds and lagged exposures; validate prism or other gridded climate products; compare observed conditions with climate normals prism climate data; noaa storm events database; ghcn-daily; noaa local climatological data; noaa u.s. climate normals; cdc heat and health tracker; epa airdata/aqs; usgs water data for the nation; american community survey; daymet; gridmet cdo is an umbrella portal rather than one standardized dataset. variables, temporal resolution, geographic coverage, units, quality-control procedures, and update schedules differ by collection and station. weather stations are unevenly distributed, and point observations may not represent conditions throughout a census area or an individual's actual exposure. records may contain missing values, quality flags, reporting interruptions, station moves, instrumentation changes, and observation-time changes. recent observations can be revised as quality-control processing continues. large multi-station extractions may be easier through dataset-specific bulk archives than through the cdo cart or api. some international products may carry additional use conditions. public environmental data with no identifiable individual health records. a free api token is required for cdo web services, with request-rate and daily limits. researchers should document the underlying dataset, station identifiers, station network, variables, units, quality flags, temporal resolution, extraction method, and access date. follow any dataset-specific conditions applicable to international observations. when linking station observations to protected health records, follow the governance requirements of the health dataset and do not describe station measurements as personally measured exposure.</v>
      </c>
    </row>
    <row r="82" spans="1:36" ht="71.25" customHeight="1">
      <c r="A82" s="1" t="s">
        <v>1332</v>
      </c>
      <c r="B82" s="8" t="s">
        <v>1333</v>
      </c>
      <c r="C82" s="3" t="s">
        <v>1334</v>
      </c>
      <c r="D82" s="4" t="s">
        <v>1335</v>
      </c>
      <c r="E82" s="1" t="s">
        <v>1336</v>
      </c>
      <c r="F82" s="3" t="s">
        <v>1337</v>
      </c>
      <c r="G82" s="3" t="s">
        <v>224</v>
      </c>
      <c r="H82" s="3" t="s">
        <v>137</v>
      </c>
      <c r="I82" s="3" t="s">
        <v>810</v>
      </c>
      <c r="J82" s="3" t="s">
        <v>1338</v>
      </c>
      <c r="K82" s="3" t="s">
        <v>1339</v>
      </c>
      <c r="L82" s="3" t="s">
        <v>795</v>
      </c>
      <c r="M82" s="3" t="s">
        <v>1340</v>
      </c>
      <c r="N82" s="3" t="s">
        <v>1341</v>
      </c>
      <c r="O82" s="3" t="s">
        <v>48</v>
      </c>
      <c r="P82" s="3" t="s">
        <v>293</v>
      </c>
      <c r="Q82" s="3" t="s">
        <v>293</v>
      </c>
      <c r="R82" s="3" t="s">
        <v>52</v>
      </c>
      <c r="S82" s="3" t="s">
        <v>51</v>
      </c>
      <c r="T82" s="3" t="s">
        <v>51</v>
      </c>
      <c r="U82" s="1" t="s">
        <v>1342</v>
      </c>
      <c r="V82" s="3" t="s">
        <v>1343</v>
      </c>
      <c r="W82" s="3" t="s">
        <v>42</v>
      </c>
      <c r="X82" s="3" t="s">
        <v>42</v>
      </c>
      <c r="Y82" s="3" t="s">
        <v>1344</v>
      </c>
      <c r="Z82" s="3" t="s">
        <v>1345</v>
      </c>
      <c r="AA82" s="3" t="s">
        <v>1346</v>
      </c>
      <c r="AB82" s="3" t="s">
        <v>1347</v>
      </c>
      <c r="AC82" s="3" t="s">
        <v>1348</v>
      </c>
      <c r="AD82" s="3"/>
      <c r="AE82" s="3" t="s">
        <v>51</v>
      </c>
      <c r="AF82" s="10">
        <v>46226</v>
      </c>
      <c r="AG82" s="3" t="s">
        <v>117</v>
      </c>
      <c r="AH82" s="3" t="s">
        <v>42</v>
      </c>
      <c r="AI82" s="3"/>
      <c r="AJ82" s="3" t="str">
        <f>LOWER(_xlfn.SINGLE(_xlfn.TEXTJOIN(" ", TRUE, B82, C82, E82, F82, G82, I82, J82, K82, L82, M82, N82, O82, P82, Q82, X82, Y82, Z82, AA82, AB82, AC82, AD82)))</f>
        <v>noaa nclimgrid daily / epinoaa county dataset usgs analysis-ready daily county-level time series of area-averaged maximum, minimum, and mean temperature and precipitation derived from noaa nclimgrid-daily for climate monitoring, epidemiologic exposure assignment, and longitudinal public-health research. public direct csv and parquet downloads through noaa-hosted cloud storage; r package and interactive access options are also available; no registration or credentials required. open/public environmental exposure climate; weather; extreme heat; extreme cold; precipitation; county-level data; sdoh/geospatial; analysis-ready data; time-series data; epidemiology noaa nclimgrid-daily; nclimgrid daily; epinoaa; county climate; daily weather; daily maximum temperature; tmax; daily minimum temperature; tmin; daily average temperature; tavg; daily precipitation; prcp; extreme heat; extreme cold; heavy rainfall; county climate exposure; area average; conus; ghcn-daily; climate epidemiology; ncics; cisess environmental daily temperature; extreme heat; extreme cold; precipitation; heavy rainfall; drought-related conditions; flood-related climate conditions; climate variability; weather exposure residents and land areas of counties in the contiguous united states, represented through county-area-average daily climate estimates united states county county high date; year; month; day; county or regional identifier; county name; state identifier; daily maximum temperature (tmax, °c); daily minimum temperature (tmin, °c); daily average temperature (tavg, °c); daily precipitation amount (prcp, mm); preliminary or scaled data status; product version assign daily county-level heat, cold, and precipitation exposures to health records; examine heat-related illness, mortality, hospitalization, or emergency-care use; study weather-related disruptions in hiv clinic attendance, medication access, care retention, or viral-load testing; conduct time-series, case-crossover, distributed-lag, or county-panel analyses; identify heavy-rainfall and extreme-temperature periods; control for weather in air-pollution, infectious-disease, or health-services research; compare climate exposures across south carolina counties noaa climate data online; global historical climatology network-daily; prism climate data; noaa storm events database; cdc heat and health tracker; cdc environmental public health tracking network; epa airdata/aqs; usgs water data for the nation; american community survey; cdc places; county-level health surveillance, claims, or hospitalization data modeled and interpolated estimates derived from weather-station observations rather than direct measurements in every county. county values are spatial area averages and are not population-weighted; they can obscure within-county variation, urban heat islands, elevation differences, and localized rainfall extremes. the source covers the contiguous united states and excludes alaska, hawaii, and u.s. territories. available climate variables are limited to maximum, minimum, and average temperature and precipitation; humidity, heat index, wind, and solar radiation are not included. preliminary observations may change as additional station data are received and quality-control processing is completed. interpolation smooths local extremes and can introduce precipitation bias. noaa discourages interpreting an individual grid-point value on a single day as the exact condition at that location. public non-human environmental data with no individual privacy restrictions. cite noaa nclimgrid-daily and record the epinoaa access date. document the product version, preliminary-versus-scaled status, units, county identifier or crosswalk, extraction dates, and construction of derived exposure variables. when linking county estimates to protected health records, follow the governance requirements of the health dataset and do not describe county averages as personally measured exposure.</v>
      </c>
    </row>
    <row r="83" spans="1:36" ht="57" customHeight="1">
      <c r="A83" s="1" t="s">
        <v>1349</v>
      </c>
      <c r="B83" s="9" t="s">
        <v>1350</v>
      </c>
      <c r="C83" t="s">
        <v>1351</v>
      </c>
      <c r="D83" s="13" t="s">
        <v>1352</v>
      </c>
      <c r="E83" s="12" t="s">
        <v>1353</v>
      </c>
      <c r="F83" s="3" t="s">
        <v>1354</v>
      </c>
      <c r="G83" s="3" t="s">
        <v>905</v>
      </c>
      <c r="H83" s="3" t="s">
        <v>62</v>
      </c>
      <c r="I83" s="3" t="s">
        <v>810</v>
      </c>
      <c r="J83" s="3" t="s">
        <v>1355</v>
      </c>
      <c r="K83" s="3"/>
      <c r="L83" s="3" t="s">
        <v>795</v>
      </c>
      <c r="M83" s="3" t="s">
        <v>1356</v>
      </c>
      <c r="N83" s="3" t="s">
        <v>1357</v>
      </c>
      <c r="O83" s="3" t="s">
        <v>48</v>
      </c>
      <c r="P83" s="3" t="s">
        <v>1358</v>
      </c>
      <c r="Q83" s="3" t="s">
        <v>49</v>
      </c>
      <c r="R83" s="3" t="s">
        <v>52</v>
      </c>
      <c r="S83" s="3" t="s">
        <v>51</v>
      </c>
      <c r="T83" s="3" t="s">
        <v>51</v>
      </c>
      <c r="U83" s="1" t="s">
        <v>1359</v>
      </c>
      <c r="V83" s="3" t="s">
        <v>1360</v>
      </c>
      <c r="W83" s="3" t="s">
        <v>42</v>
      </c>
      <c r="X83" s="3" t="s">
        <v>42</v>
      </c>
      <c r="Y83" s="3" t="s">
        <v>1361</v>
      </c>
      <c r="Z83" s="3" t="s">
        <v>1362</v>
      </c>
      <c r="AA83" s="3" t="s">
        <v>1363</v>
      </c>
      <c r="AB83" s="3" t="s">
        <v>1364</v>
      </c>
      <c r="AC83" s="3" t="s">
        <v>1365</v>
      </c>
      <c r="AD83" s="3"/>
      <c r="AE83" s="3" t="s">
        <v>51</v>
      </c>
      <c r="AF83" s="10">
        <v>46225</v>
      </c>
      <c r="AG83" s="3" t="s">
        <v>117</v>
      </c>
      <c r="AH83" s="3" t="s">
        <v>42</v>
      </c>
      <c r="AI83" s="3"/>
      <c r="AJ83" s="3" t="e">
        <f>LOWER(_xlfn.SINGLE(_xlfn.TEXTJOIN(" ", TRUE, B83, C83, F83,#REF!, G83, I83, J83, K83, L83, M83, N83, O83, P83, Q83, X83, Y83, Z83, AA83, AB83, AC83, AD83)))</f>
        <v>#REF!</v>
      </c>
    </row>
    <row r="84" spans="1:36" ht="71.25" customHeight="1">
      <c r="A84" s="1" t="s">
        <v>1366</v>
      </c>
      <c r="B84" s="8" t="s">
        <v>1367</v>
      </c>
      <c r="C84" s="3" t="s">
        <v>1368</v>
      </c>
      <c r="D84" s="4" t="s">
        <v>1369</v>
      </c>
      <c r="E84" s="1" t="s">
        <v>1370</v>
      </c>
      <c r="F84" s="3" t="s">
        <v>1371</v>
      </c>
      <c r="G84" s="3" t="s">
        <v>224</v>
      </c>
      <c r="H84" s="3" t="s">
        <v>62</v>
      </c>
      <c r="I84" s="3" t="s">
        <v>810</v>
      </c>
      <c r="J84" s="3" t="s">
        <v>1372</v>
      </c>
      <c r="K84" s="3" t="s">
        <v>1373</v>
      </c>
      <c r="L84" s="3" t="s">
        <v>795</v>
      </c>
      <c r="M84" s="3" t="s">
        <v>1374</v>
      </c>
      <c r="N84" s="3" t="s">
        <v>1375</v>
      </c>
      <c r="O84" s="3" t="s">
        <v>48</v>
      </c>
      <c r="P84" s="3" t="s">
        <v>48</v>
      </c>
      <c r="Q84" s="3" t="s">
        <v>1376</v>
      </c>
      <c r="R84" s="3" t="s">
        <v>52</v>
      </c>
      <c r="S84" s="3" t="s">
        <v>51</v>
      </c>
      <c r="T84" s="3" t="s">
        <v>51</v>
      </c>
      <c r="U84" s="1" t="s">
        <v>1377</v>
      </c>
      <c r="V84" s="3" t="s">
        <v>1378</v>
      </c>
      <c r="W84" s="3" t="s">
        <v>42</v>
      </c>
      <c r="X84" s="3" t="s">
        <v>42</v>
      </c>
      <c r="Y84" s="3" t="s">
        <v>1379</v>
      </c>
      <c r="Z84" s="3" t="s">
        <v>1380</v>
      </c>
      <c r="AA84" s="3" t="s">
        <v>1381</v>
      </c>
      <c r="AB84" s="3" t="s">
        <v>1382</v>
      </c>
      <c r="AC84" s="3" t="s">
        <v>1383</v>
      </c>
      <c r="AD84" s="3"/>
      <c r="AE84" s="3" t="s">
        <v>51</v>
      </c>
      <c r="AF84" s="10">
        <v>46226</v>
      </c>
      <c r="AG84" s="3" t="s">
        <v>117</v>
      </c>
      <c r="AH84" s="3" t="s">
        <v>42</v>
      </c>
      <c r="AI84" s="3"/>
      <c r="AJ84" s="3" t="str">
        <f t="shared" ref="AJ84:AJ93" si="3">LOWER(_xlfn.SINGLE(_xlfn.TEXTJOIN(" ", TRUE, B84, C84, E84, F84, G84, I84, J84, K84, L84, M84, N84, O84, P84, Q84, X84, Y84, Z84, AA84, AB84, AC84, AD84)))</f>
        <v>gridmet climatology lab, university of california, merced daily, spatially continuous gridded surface meteorological data for assigning temperature, precipitation, humidity, wind, solar radiation, evapotranspiration, vapor-pressure deficit, drought, and fire-weather conditions to locations and geographic areas. public annual netcdf downloads, wget-generated downloads, thredds/opendap services, climate engine access, usgs zarr services, and google earth engine; no approval required for direct files. open/public environmental exposure climate; weather; temperature; precipitation; humidity; wind; solar radiation; evapotranspiration; vapor pressure deficit; drought; wildfire; sdoh/geospatial; raster data; longitudinal data gridmet; metdata; climatology lab; uc merced; university of idaho; daily gridded meteorology; 4-kilometer climate data; temperature; precipitation; relative humidity; specific humidity; vapor pressure deficit; wind speed; wind direction; solar radiation; evapotranspiration; reference et; palmer drought severity index; fire weather; fuel moisture; energy release component; burning index; prism; nldas-2 environmental daily temperature; extreme heat; extreme cold; precipitation; heavy rainfall; humidity; vapor-pressure deficit; wind; solar radiation; evapotranspiration; drought; wildfire danger; fuel moisture; climate variability land areas and populations in the contiguous united states represented through approximately 4-kilometer gridded meteorological estimates united states united states approximately 4-kilometer raster grid cell high date; raster-cell centroid; latitude; longitude; precipitation accumulation; maximum temperature; minimum temperature; maximum relative humidity; minimum relative humidity; specific humidity; wind velocity; wind direction; downward shortwave solar radiation; mean vapor-pressure deficit; grass-reference evapotranspiration; alfalfa-reference evapotranspiration; energy release component; burning index; 100-hour dead-fuel moisture; 1,000-hour dead-fuel moisture; 10-day palmer drought severity index; preliminary or permanent data status assign daily meteorological exposures to residences, clinics, census areas, counties, watersheds, or study sites; study extreme heat and cold; incorporate humidity or vapor-pressure deficit into heat-exposure measures; evaluate precipitation, drought, wildfire, respiratory, cardiovascular, infectious-disease, and environmental-health outcomes; examine weather-related disruption of hiv services or medication access; calculate lagged and cumulative exposure measures; model evapotranspiration and hydrologic conditions; support agricultural, ecological, and wildfire analyses prism climate data; noaa nclimgrid-daily and epinoaa; noaa climate data online; noaa storm events database; terraclimate; daymet; cdc heat and health tracker; epa airdata/aqs; usgs water data for the nation; fema national risk index; american community survey modeled and interpolated raster estimates rather than measurements at every location. the approximately 4-kilometer grid may not capture neighborhood-scale heat, urban microclimates, coastal gradients, localized thunderstorms, or terrain effects below the native resolution. wind and solar-radiation inputs originate from substantially coarser reanalysis data and may not represent mesoscale terrain effects. solar radiation is calculated for a planar surface rather than adjusted for slope and aspect. recent observations are preliminary and can be replaced as more complete source data become available. the gridmet day is defined as midnight-to-midnight mountain standard time, which may differ from the local calendar day in south carolina. grid-cell values should not be interpreted as personal exposure. public non-human environmental data with no individual privacy restrictions. gridmet is available without known copyright restrictions, but researchers should cite the source and record the acquisition date. when linking raster estimates to protected health records, follow the confidentiality, geocoding, suppression, irb, and data-use requirements of the health dataset. document the variables, units, grid resolution, extraction date, preliminary-versus-permanent status, time-zone handling, spatial extraction method, and aggregation procedure.</v>
      </c>
    </row>
    <row r="85" spans="1:36" ht="71.25" customHeight="1">
      <c r="A85" s="1" t="s">
        <v>1384</v>
      </c>
      <c r="B85" s="9" t="s">
        <v>1385</v>
      </c>
      <c r="C85" t="s">
        <v>1385</v>
      </c>
      <c r="D85" s="4" t="s">
        <v>1386</v>
      </c>
      <c r="E85" s="1" t="s">
        <v>1387</v>
      </c>
      <c r="F85" s="3" t="s">
        <v>1388</v>
      </c>
      <c r="G85" s="3" t="s">
        <v>224</v>
      </c>
      <c r="H85" s="3" t="s">
        <v>137</v>
      </c>
      <c r="I85" s="3" t="s">
        <v>810</v>
      </c>
      <c r="J85" s="3" t="s">
        <v>1389</v>
      </c>
      <c r="K85" s="3" t="s">
        <v>1390</v>
      </c>
      <c r="L85" s="3" t="s">
        <v>92</v>
      </c>
      <c r="M85" s="3" t="s">
        <v>1391</v>
      </c>
      <c r="N85" s="3" t="s">
        <v>1392</v>
      </c>
      <c r="O85" s="3" t="s">
        <v>48</v>
      </c>
      <c r="P85" s="3" t="s">
        <v>1393</v>
      </c>
      <c r="Q85" s="3" t="s">
        <v>49</v>
      </c>
      <c r="R85" s="11" t="s">
        <v>51</v>
      </c>
      <c r="S85" s="3" t="s">
        <v>51</v>
      </c>
      <c r="T85" s="3" t="s">
        <v>51</v>
      </c>
      <c r="U85" s="1" t="s">
        <v>1394</v>
      </c>
      <c r="V85" s="3" t="s">
        <v>1395</v>
      </c>
      <c r="W85" s="3" t="s">
        <v>42</v>
      </c>
      <c r="X85" s="3" t="s">
        <v>42</v>
      </c>
      <c r="Y85" s="3" t="s">
        <v>1396</v>
      </c>
      <c r="Z85" s="3" t="s">
        <v>1397</v>
      </c>
      <c r="AA85" s="3" t="s">
        <v>1398</v>
      </c>
      <c r="AB85" s="3" t="s">
        <v>1399</v>
      </c>
      <c r="AC85" s="3" t="s">
        <v>1400</v>
      </c>
      <c r="AD85" s="3"/>
      <c r="AE85" s="3" t="s">
        <v>60</v>
      </c>
      <c r="AF85" s="10">
        <v>46225</v>
      </c>
      <c r="AG85" s="3" t="s">
        <v>117</v>
      </c>
      <c r="AH85" s="3" t="s">
        <v>62</v>
      </c>
      <c r="AI85" s="3"/>
      <c r="AJ85" s="3" t="str">
        <f t="shared" si="3"/>
        <v>noaa storm events database noaa storm events database event-based database documenting severe storms, unusual weather phenomena, and other significant meteorological events, including event timing and location, reported injuries and fatalities, property and crop damage, event magnitude, and descriptive narratives. public interactive search, narrative search, annual bulk csv files, event-location files, fatality files, documentation, and archived storm data publications; no account required. open/public environmental exposure climate; weather; natural hazards; disasters; emergency preparedness; extreme heat; flooding; injury surveillance; mortality; sdoh/geospatial; event-level data; longitudinal data noaa storm events database; ncei; nws storm data; severe weather; natural disaster; extreme weather; tornado; hurricane; tropical storm; flood; flash flood; storm surge; extreme heat; excessive heat; drought; wildfire; lightning; hail; thunderstorm wind; winter storm; ice storm; coastal flood; injuries; fatalities; property damage; crop damage; south carolina storm events registry/surveillance tornadoes; hurricanes; tropical storms; floods; flash floods; coastal flooding; storm surge; extreme heat; cold exposure; drought; wildfire; lightning; hail; damaging winds; heavy rain; winter storms; ice storms; rip currents; weather-related injuries; weather-related deaths; economic damage residents and communities in the united states and territories affected by recorded severe or significant weather events; records also cover marine areas and forecast zones united states county or parish; nws forecast zone; marine zone; event point or path; state or territory other high episode id; event id; state; state fips; year; month; event type; county, parish, forecast zone, or marine-zone identifier; county or zone fips; national weather service forecast office; event start and end date/time; time zone; direct injuries; indirect injuries; direct deaths; indirect deaths; estimated property damage; estimated crop damage; reporting source; event magnitude; magnitude type; flood cause; tornado ef scale; tornado path length and width; beginning and ending latitude and longitude; event locations; episode narrative; event narrative; fatality date; fatality age; fatality sex; fatality location category identify severe-weather events affecting a study population; examine associations between disasters and mortality, injury, hospitalization, emergency care, mental health, or infectious-disease outcomes; study disruptions to hiv clinics, pharmacies, transportation, antiretroviral treatment, and care retention after hurricanes or floods; construct event windows for interrupted time-series or difference-in-differences studies; evaluate geographic disparities in disaster impacts; characterize direct and indirect deaths and injuries; assess property and crop damage; support emergency preparedness and climate-resilience planning prism climate data; noaa/ncei climate data online; noaa integrated best track archive for climate stewardship; national weather service warning data; fema openfema disaster declarations; usgs water data for the nation; cdc heat and health tracker; cdc wonder mortality data; american community survey; cdc/atsdr social vulnerability index; cdc/atsdr environmental justice index; hospital discharge or claims data; nchhstp atlasplus; hiv surveillance and ryan white program data the database is not a complete census of all weather conditions or every hazardous event. event-type coverage and reporting procedures changed substantially over time, making naïve historical event-count comparisons unreliable. early records are concentrated on tornadoes, hail, and thunderstorm winds, and june and july 1993 records are missing. information comes from national weather service offices and numerous outside sources, and some reports may be unverified. location precision varies by period and event; older coordinates may be approximate. property and crop damage values are broad estimates and are not adjusted for inflation. tornadoes can be divided into multiple event segments when crossing counties, states, or forecast-office areas. recent data appear with a reporting lag. reported injuries, fatalities, damages, and narratives should not be assumed complete or equally ascertained across locations and years. public event records with no names or direct personal identifiers. the separate fatality file contains one record per reported fatality and may include age, sex, date, and a broad location category; researchers should avoid unnecessary disclosure of rare-event combinations in small communities. linking storm-event records to protected hiv, clinical, claims, or surveillance data requires compliance with the confidentiality, geocoding, suppression, irb, and data-use requirements of the health dataset. cite noaa/ncei and document the extraction date, data files, event definitions, temporal window, geographic-linkage method, and treatment of event segments.</v>
      </c>
    </row>
    <row r="86" spans="1:36" ht="85.5" customHeight="1">
      <c r="A86" s="1" t="s">
        <v>1401</v>
      </c>
      <c r="B86" s="8" t="s">
        <v>1402</v>
      </c>
      <c r="C86" s="3" t="s">
        <v>1403</v>
      </c>
      <c r="D86" s="4" t="s">
        <v>1404</v>
      </c>
      <c r="E86" s="1" t="s">
        <v>1405</v>
      </c>
      <c r="F86" s="3" t="s">
        <v>1406</v>
      </c>
      <c r="G86" s="3" t="s">
        <v>224</v>
      </c>
      <c r="H86" s="3" t="s">
        <v>137</v>
      </c>
      <c r="I86" s="3" t="s">
        <v>339</v>
      </c>
      <c r="J86" s="3" t="s">
        <v>1407</v>
      </c>
      <c r="K86" s="3" t="s">
        <v>1408</v>
      </c>
      <c r="L86" s="3" t="s">
        <v>323</v>
      </c>
      <c r="M86" s="3" t="s">
        <v>1409</v>
      </c>
      <c r="N86" s="3" t="s">
        <v>1410</v>
      </c>
      <c r="O86" s="3" t="s">
        <v>48</v>
      </c>
      <c r="P86" s="3" t="s">
        <v>1411</v>
      </c>
      <c r="Q86" s="3" t="s">
        <v>327</v>
      </c>
      <c r="R86" s="3" t="s">
        <v>52</v>
      </c>
      <c r="S86" s="3" t="s">
        <v>51</v>
      </c>
      <c r="T86" s="3" t="s">
        <v>52</v>
      </c>
      <c r="U86" s="1" t="s">
        <v>1412</v>
      </c>
      <c r="V86" s="3" t="s">
        <v>1413</v>
      </c>
      <c r="W86" s="3" t="s">
        <v>42</v>
      </c>
      <c r="X86" s="3" t="s">
        <v>42</v>
      </c>
      <c r="Y86" s="3" t="s">
        <v>1414</v>
      </c>
      <c r="Z86" s="3" t="s">
        <v>1415</v>
      </c>
      <c r="AA86" s="3" t="s">
        <v>1416</v>
      </c>
      <c r="AB86" s="3" t="s">
        <v>1417</v>
      </c>
      <c r="AC86" s="3" t="s">
        <v>1418</v>
      </c>
      <c r="AD86" s="3"/>
      <c r="AE86" s="3" t="s">
        <v>51</v>
      </c>
      <c r="AF86" s="10">
        <v>46226</v>
      </c>
      <c r="AG86" s="3" t="s">
        <v>117</v>
      </c>
      <c r="AH86" s="3" t="s">
        <v>42</v>
      </c>
      <c r="AI86" s="3" t="s">
        <v>63</v>
      </c>
      <c r="AJ86" s="3" t="str">
        <f t="shared" si="3"/>
        <v>fema national risk index fema national risk index for natural hazards area-level multi-hazard screening dataset combining expected annual loss, social vulnerability, and community resilience to compare natural-hazard risk across u.s. counties and census tracts and support mitigation, preparedness, resilience planning, grant prioritization, and risk communication. public fema landing page, rapt gis web map, openfema downloadable files, fema arcgis county and census-tract feature layers, and technical documentation; no account required. open/public sdoh/geospatial environmental exposure; natural hazards; disaster risk; climate; social vulnerability; community resilience; emergency preparedness; hazard mitigation; resilience planning; area-level data fema national risk index; fema nri; natural hazard risk; multi-hazard risk; expected annual loss; eal; social vulnerability; community resilience; disaster vulnerability; hazard mitigation; emergency preparedness; census tract risk; county risk; annualized frequency; historic loss ratio; rapt; disaster resilience; south carolina natural hazards geospatial/area-level avalanche; coastal flooding; cold wave; drought; earthquake; hail; heat wave; hurricane; ice storm; inland flooding; landslide; lightning; strong wind; tornado; tsunami; volcanic activity; wildfire; winter weather; expected annual loss; social vulnerability; community resilience residents, buildings, agricultural assets, and communities in u.s. counties and census tracts, represented through area-level hazard exposure, expected annual loss, social vulnerability, and community resilience measures united states census tract; county; tribal census tract; state-level expected annual loss summaries, depending on product census tract high national risk index identifier; state, county, and census-tract fips codes; composite risk index value, score, and rating; composite expected annual loss value, score, and rating; social vulnerability value, score, and rating; community resilience value, score, and rating; hazard-specific risk index scores and ratings; hazard-specific expected annual loss; annualized hazard frequency; exposure; historic loss ratio; building-loss component; population-loss component; agriculture-loss component; geographic geometry; national risk index version identify census tracts or counties with high multi-hazard risk; prioritize emergency-preparedness and resilience resources; examine whether areas with high hiv burden or poorer hiv care outcomes also face elevated disaster risk or low community resilience; assess potential disruption of clinics, pharmacies, transportation, utilities, and medication access; support continuity-of-care planning; compare hazard-specific risks across south carolina; select communities for qualitative engagement; support hazard-mitigation planning, grant applications, and risk communication fema resilience analysis and planning tool; openfema disaster declarations summaries; noaa storm events database; prism climate data; noaa epinoaa/nclimgrid daily; fema national flood hazard layer; cdc/atsdr social vulnerability index; cdc/atsdr environmental justice index; american community survey; usgs hazard datasets; local hazard-mitigation plans; health-care facility and pharmacy locations relative screening index rather than a site-specific risk assessment or prediction of future events. scores are based on modeled expected annual losses, historical hazard information, exposure estimates, social vulnerability, and community resilience measures drawn from sources with different reference periods and methods. county and tract values can conceal substantial within-area variation. expected annual loss is a modeled long-term average and should not be interpreted as the amount a community will lose in a particular year. national ratings are comparative rather than absolute safety thresholds. composite scores may obscure which hazard or community factor is driving risk. data versions may not be directly comparable because hazard methods, source data, geography, and community-factor calculations can change. the index does not represent individual exposure, individual vulnerability, or individual probability of harm and should not replace local hazard studies. public aggregate geospatial data with no identifiable individual records. cite fema, the national risk index version, the geographic level, and the date accessed. linking tract- or county-level risk measures to protected hiv, clinical, claims, or surveillance data requires compliance with the confidentiality, geocoding, suppression, irb, and data-use requirements of the health dataset. do not present tract-level risk or vulnerability as an individual characteristic, and avoid publishing small-area health results that could permit indirect identification.</v>
      </c>
    </row>
    <row r="87" spans="1:36" ht="71.25" customHeight="1">
      <c r="A87" s="1" t="s">
        <v>1419</v>
      </c>
      <c r="B87" s="9" t="s">
        <v>1420</v>
      </c>
      <c r="C87" s="3" t="s">
        <v>1421</v>
      </c>
      <c r="D87" s="4" t="s">
        <v>1422</v>
      </c>
      <c r="E87" s="1" t="s">
        <v>1423</v>
      </c>
      <c r="F87" s="3" t="s">
        <v>1424</v>
      </c>
      <c r="G87" s="3" t="s">
        <v>224</v>
      </c>
      <c r="H87" s="3" t="s">
        <v>62</v>
      </c>
      <c r="I87" s="3" t="s">
        <v>810</v>
      </c>
      <c r="J87" s="3" t="s">
        <v>1425</v>
      </c>
      <c r="K87" s="3" t="s">
        <v>1426</v>
      </c>
      <c r="L87" s="3" t="s">
        <v>323</v>
      </c>
      <c r="M87" s="3" t="s">
        <v>1427</v>
      </c>
      <c r="N87" s="3" t="s">
        <v>1428</v>
      </c>
      <c r="O87" s="3" t="s">
        <v>48</v>
      </c>
      <c r="P87" s="3" t="s">
        <v>1429</v>
      </c>
      <c r="Q87" s="3" t="s">
        <v>49</v>
      </c>
      <c r="R87" s="3" t="s">
        <v>52</v>
      </c>
      <c r="S87" s="3" t="s">
        <v>51</v>
      </c>
      <c r="T87" s="3" t="s">
        <v>51</v>
      </c>
      <c r="U87" s="1" t="s">
        <v>1430</v>
      </c>
      <c r="V87" s="3" t="s">
        <v>1431</v>
      </c>
      <c r="W87" s="3" t="s">
        <v>42</v>
      </c>
      <c r="X87" s="3" t="s">
        <v>42</v>
      </c>
      <c r="Y87" s="3" t="s">
        <v>1432</v>
      </c>
      <c r="Z87" s="3" t="s">
        <v>1433</v>
      </c>
      <c r="AA87" s="3" t="s">
        <v>1434</v>
      </c>
      <c r="AB87" s="3" t="s">
        <v>1435</v>
      </c>
      <c r="AC87" s="3" t="s">
        <v>1436</v>
      </c>
      <c r="AD87" s="3"/>
      <c r="AE87" s="3"/>
      <c r="AF87" s="10">
        <v>46226</v>
      </c>
      <c r="AG87" s="3" t="s">
        <v>117</v>
      </c>
      <c r="AH87" s="3" t="s">
        <v>42</v>
      </c>
      <c r="AI87" s="3" t="s">
        <v>63</v>
      </c>
      <c r="AJ87" s="3" t="str">
        <f t="shared" si="3"/>
        <v>usgs / mrlc national land cover database (nlcd) mrlc annual national land cover database annual 30-meter raster data describing land cover, land-cover change, classification confidence, and impervious surfaces for analyzing urbanization, development, vegetation, wetlands, environmental context, and changes in the land surface over time. public mrlc viewer and area-of-interest downloads, geotiff raster files, usgs earthexplorer, sciencebase archives, aws cloud storage, and geospatial web services; no approval required. open/public environmental exposure sdoh/geospatial; land cover; land use; built environment; impervious surface; urbanization; greenspace; forest; wetlands; agriculture; remote sensing; raster data; longitudinal data annual nlcd; national land cover database; mrlc; usgs eros; landsat land cover; land-cover change; 30-meter raster; developed land; urbanization; impervious surface; fractional imperviousness; roads; forest cover; wetlands; agriculture; open water; greenspace; built environment; remote sensing; south carolina land cover geospatial/area-level land cover; land-cover change; developed land; urbanization; impervious surfaces; roads; open water; forest; shrubland; grassland; pasture; cultivated crops; wetlands; greenspace; land-surface disturbance land areas and communities in the conterminous united states represented through 30-meter land-cover raster cells united states 30-meter raster grid cell; current annual nlcd core coverage is the conterminous united states other high mapping year; raster-cell coordinates; land-cover class code; land-cover class description; land-cover change; land-cover confidence; fractional impervious surface percentage; impervious descriptor identifying road or other urban surfaces; spectral change day of year; spatial resolution; product collection and version; projection and datum calculate developed-land, forest, wetland, agricultural, or greenspace percentages within census areas or buffers; measure imperviousness around residences, clinics, pharmacies, or community organizations; study urbanization and neighborhood environmental change; evaluate associations between land cover and hiv outcomes, physical activity, heat, air pollution, flooding, stormwater runoff, vector habitat, respiratory outcomes, or access to greenspace; characterize environmental context around brownfields, superfund sites, or regulated facilities; construct annual county, tract, zip, or watershed land-cover indicators epa enviroatlas; epa ejscreen; cdc/atsdr environmental justice index; american community survey; census tiger/line; prism climate data; gridmet; noaa nclimgrid/epinoaa; fema national risk index; epa waters/nhdplus; usgs landsat; usda cropland data layer; usfs tree canopy cover data remote-sensing classification product rather than direct field observation or parcel-level land-use data. a 30-meter cell may contain several surface types, while the land-cover product assigns the predominant class. classification accuracy varies by class, geography, year, and type of change. small roads, buildings, narrow waterways, fragmented greenspace, and other features below the spatial resolution may be missed or generalized. land cover should not be treated as equivalent to zoning, ownership, parcel use, or personal environmental exposure. apparent annual changes can include classification artifacts. current annual nlcd collection products should not be combined naïvely with legacy nlcd releases because methods, classes, and processing differ. the current core annual suite covers the conterminous united states and does not provide equivalent land-cover coverage for alaska, hawaii, or u.s. territories. public non-human geospatial data with no individual privacy restrictions. annual nlcd science products have no use restrictions and usgs eros data are generally public domain, although formal citation is recommended. document the annual nlcd collection and version, mapping years, selected products, spatial resolution, class legend, projection, extraction date, study-area boundaries, buffer or aggregation method, and treatment of classification confidence. when linking raster-derived indicators to protected health records, follow the governance requirements of the health dataset and do not describe area-level land cover as an individually measured exposure.</v>
      </c>
    </row>
    <row r="88" spans="1:36" ht="71.25" customHeight="1">
      <c r="A88" s="1" t="s">
        <v>1437</v>
      </c>
      <c r="B88" s="8" t="s">
        <v>1438</v>
      </c>
      <c r="C88" t="s">
        <v>1439</v>
      </c>
      <c r="D88" s="4" t="s">
        <v>1440</v>
      </c>
      <c r="E88" s="1" t="s">
        <v>1441</v>
      </c>
      <c r="F88" s="3" t="s">
        <v>1442</v>
      </c>
      <c r="G88" s="3" t="s">
        <v>224</v>
      </c>
      <c r="H88" s="3" t="s">
        <v>62</v>
      </c>
      <c r="I88" s="3" t="s">
        <v>339</v>
      </c>
      <c r="J88" s="3" t="s">
        <v>1443</v>
      </c>
      <c r="K88" s="3" t="s">
        <v>1444</v>
      </c>
      <c r="L88" s="3" t="s">
        <v>323</v>
      </c>
      <c r="M88" s="3" t="s">
        <v>1445</v>
      </c>
      <c r="N88" s="3" t="s">
        <v>1446</v>
      </c>
      <c r="O88" s="3" t="s">
        <v>48</v>
      </c>
      <c r="P88" s="3" t="s">
        <v>1447</v>
      </c>
      <c r="Q88" s="3" t="s">
        <v>49</v>
      </c>
      <c r="R88" s="3" t="s">
        <v>52</v>
      </c>
      <c r="S88" s="3" t="s">
        <v>51</v>
      </c>
      <c r="T88" s="3" t="s">
        <v>52</v>
      </c>
      <c r="U88" s="12" t="s">
        <v>1448</v>
      </c>
      <c r="V88" s="3" t="s">
        <v>1449</v>
      </c>
      <c r="W88" s="3" t="s">
        <v>42</v>
      </c>
      <c r="X88" s="3" t="s">
        <v>62</v>
      </c>
      <c r="Y88" s="3" t="s">
        <v>1450</v>
      </c>
      <c r="Z88" s="3" t="s">
        <v>1451</v>
      </c>
      <c r="AA88" s="3" t="s">
        <v>1452</v>
      </c>
      <c r="AB88" s="3" t="s">
        <v>1453</v>
      </c>
      <c r="AC88" s="3" t="s">
        <v>1454</v>
      </c>
      <c r="AD88" s="3"/>
      <c r="AE88" s="3" t="s">
        <v>60</v>
      </c>
      <c r="AF88" s="10">
        <v>46226</v>
      </c>
      <c r="AG88" s="3" t="s">
        <v>117</v>
      </c>
      <c r="AH88" s="3" t="s">
        <v>137</v>
      </c>
      <c r="AI88" s="3" t="s">
        <v>63</v>
      </c>
      <c r="AJ88" s="3" t="str">
        <f t="shared" si="3"/>
        <v>usgs protected areas database of the u.s. (pad-us) usgs pad-us data overview and downloads national geospatial inventory of public lands, protected areas, conservation easements, marine protected areas, management designations, and other open-space lands and waters, including conservation status, ownership or management, and general public-access information. public national and state geodatabases, vector and raster analysis files, kmz files, arcgis web services, interactive data explorer, and summary-statistics dashboard. open/public sdoh/geospatial environmental exposure; protected areas; public lands; parks; open space; greenspace; recreation access; biodiversity; conservation; land management; cultural resources; emergency planning pad-us; protected areas database of the united states; usgs gap analysis project; public lands; protected areas; parks; open space; conservation easement; recreation access; public access; wilderness; national park; state park; wildlife refuge; forest; marine protected area; land management; greenspace access; south carolina protected lands geospatial/area-level protected lands; public lands; parks; open space; recreation access; biodiversity conservation; land ownership; land management; conservation easements; wilderness; natural-resource management; marine protected areas; cultural and historic areas residents and communities located near, or potentially served by, public lands, protected areas, parks, conservation lands, and other open-space lands and waters united states protected-area or management-boundary polygon; public-land parcel; conservation easement; marine protected area; county; state other medium protected-area name; local name; owner name and type; manager name and type; primary and secondary designation; protection-mechanism category; gap conservation-status code; iucn category; public-access category; feature class; establishment year where available; state; county; acreage; geographic geometry; data source; data steward; pad-us version calculate proximity to protected open space; estimate the percentage of protected or publicly accessible land around communities; examine differences in access to nature across demographic groups; characterize greenspace and recreation context around hiv-service locations; study rurality and undeveloped-land context; identify public lands relevant to wildfire or emergency planning; combine protected-area boundaries with nlcd, enviroatlas, census, climate, or health data annual national land cover database; epa enviroatlas; trust for public land parkserve; american community survey; census tiger/line; cdc/atsdr environmental justice index; epa ejscreen; fema national risk index; usgs national map; state and local parks or recreation datasets pad-us is a boundary and management inventory, not a measure of biodiversity quality, greenspace quality, park amenities, walkability, actual visitation, personal access, environmental exposure, or health benefit. public-access classifications are general and may not capture entrances, hours, fees, seasonal restrictions, safety, transportation barriers, disability access, or local closures. coverage and update dates vary among federal, state, local, tribal, and nonprofit contributors. protected-area polygons may overlap because ownership, easements, and management designations represent different legal interests. usgs discourages comparing releases as a simple longitudinal series because apparent changes can reflect improved source data or gis processing rather than real acquisitions or changes in protection. public non-human geospatial data released for public use. document the pad-us version, feature classes, public-access categories, overlap-handling procedure, coordinate system, extraction date, and spatial aggregation method. linking protected-area proximity to restricted health records requires compliance with the governance requirements of the health dataset. do not treat nearby protected land as evidence that an individual uses or can readily access that land.</v>
      </c>
    </row>
    <row r="89" spans="1:36" ht="99.75" customHeight="1">
      <c r="A89" s="1" t="s">
        <v>1455</v>
      </c>
      <c r="B89" s="9" t="s">
        <v>1456</v>
      </c>
      <c r="C89" s="3" t="s">
        <v>1457</v>
      </c>
      <c r="D89" s="4" t="s">
        <v>1458</v>
      </c>
      <c r="E89" s="1" t="s">
        <v>1459</v>
      </c>
      <c r="F89" s="3" t="s">
        <v>1460</v>
      </c>
      <c r="G89" s="3" t="s">
        <v>224</v>
      </c>
      <c r="H89" s="3" t="s">
        <v>62</v>
      </c>
      <c r="I89" s="3" t="s">
        <v>810</v>
      </c>
      <c r="J89" s="3" t="s">
        <v>1461</v>
      </c>
      <c r="K89" s="3" t="s">
        <v>1462</v>
      </c>
      <c r="L89" s="3" t="s">
        <v>795</v>
      </c>
      <c r="M89" s="3" t="s">
        <v>1461</v>
      </c>
      <c r="N89" s="3" t="s">
        <v>1462</v>
      </c>
      <c r="O89" s="3" t="s">
        <v>48</v>
      </c>
      <c r="P89" t="s">
        <v>1463</v>
      </c>
      <c r="Q89" s="3" t="s">
        <v>293</v>
      </c>
      <c r="R89" s="3" t="s">
        <v>52</v>
      </c>
      <c r="S89" s="3" t="s">
        <v>51</v>
      </c>
      <c r="T89" s="3" t="s">
        <v>51</v>
      </c>
      <c r="U89" s="1" t="s">
        <v>1464</v>
      </c>
      <c r="V89" s="3" t="s">
        <v>1465</v>
      </c>
      <c r="W89" s="3" t="s">
        <v>62</v>
      </c>
      <c r="X89" s="3" t="s">
        <v>62</v>
      </c>
      <c r="Y89" s="3" t="s">
        <v>1466</v>
      </c>
      <c r="Z89" s="3" t="s">
        <v>1467</v>
      </c>
      <c r="AA89" s="3" t="s">
        <v>1468</v>
      </c>
      <c r="AB89" s="3" t="s">
        <v>1469</v>
      </c>
      <c r="AC89" s="3" t="s">
        <v>1470</v>
      </c>
      <c r="AD89" s="3"/>
      <c r="AE89" s="3" t="s">
        <v>60</v>
      </c>
      <c r="AF89" s="10">
        <v>46226</v>
      </c>
      <c r="AG89" s="3" t="s">
        <v>117</v>
      </c>
      <c r="AH89" s="3" t="s">
        <v>62</v>
      </c>
      <c r="AI89" s="3" t="s">
        <v>63</v>
      </c>
      <c r="AJ89" s="3" t="str">
        <f t="shared" si="3"/>
        <v>usgs estimated annual agricultural pesticide use usgs / mrlc annual county-level estimates of agricultural pesticide use for hundreds of pesticide compounds in the conterminous united states, with maps and state-level crop-group summaries for evaluating national and regional patterns, trends, potential environmental loading, and agricultural exposure context. public interactive pesticide maps, annual county-level tab-delimited data files, state-level crop-group tables, usgs data releases, metadata, and methodological documentation; no registration required. open/public environmental exposure agricultural pesticide use; herbicides; insecticides; fungicides; crop chemicals; pesticide trends; agricultural chemical loading; surface-water contamination potential; groundwater contamination potential; rural environmental exposure agricultural lands and populations living, working, obtaining water, or receiving services in areas where agricultural pesticides are estimated to be used environmental agricultural pesticide use; herbicides; insecticides; fungicides; crop chemicals; pesticide trends; agricultural chemical loading; surface-water contamination potential; groundwater contamination potential; rural environmental exposure agricultural lands and populations living, working, obtaining water, or receiving services in areas where agricultural pesticides are estimated to be used united states county; agricultural land within county for mapped displays; state and crop group for selected summaries county medium pesticide compound name; year; state fips code; county fips code; low estimated use in kilograms; high estimated use in kilograms; state; county; crop or crop group in state-level files; mapped agricultural area; preliminary or final estimate status estimate county-level agricultural pesticide burden; examine associations between pesticide-use patterns and cancer, neurologic, reproductive, respiratory, endocrine, infectious-disease, or other health outcomes; characterize rural environmental conditions for hiv disparities research; assess potential pesticide contributions to surface-water or groundwater contamination; study trends in individual pesticide compounds; identify counties for targeted water-quality monitoring; link pesticide estimates with crop cover, drinking-water sources, socioeconomic conditions, and health outcomes water quality portal; usgs water data for the nation; epa attains; epa waters/nhdplus; usda census of agriculture; usda cropland data layer; annual national land cover database; epa pesticide product and label system; epa chemical data reporting; prism climate data; gridmet; american community survey; cdc/atsdr environmental justice index; south carolina agricultural and pesticide-regulatory data estimated agricultural use rather than verified field-, farm-, or applicator-level pesticide application records. for most states, proprietary pesticide-use surveys are reported at the multi-county crop reporting district level and combined with county harvested-acreage data to estimate county values. when survey information is incomplete, usgs publishes low and high estimates based on different assumptions. reliability generally decreases at finer geographic scales, and usgs states that the estimates are not intended for detailed comparisons within or between individual counties. maps allocate county estimates to agricultural land but do not identify exact treated fields. the data exclude most nonagricultural uses, including residential, structural, roadside, forestry, and many public-health applications. pesticide use does not equal environmental concentration, human dose, drift, residue, or health risk. compound coverage changes between years. seed-treatment estimates were discontinued beginning in 2015, creating a temporal comparability issue. recent estimates may be preliminary and later revised. public aggregate environmental data with no individual or farm identifiers. usgs data releases are publicly available and should be cited with the specific release, year range, version, and access date. linking county pesticide estimates to protected hiv, clinical, claims, or surveillance data requires compliance with the governance requirements of the health dataset. do not characterize county-level pesticide use as confirmed exposure for individuals. document the compounds selected, low-versus-high estimate choice, preliminary-versus-final status, county crosswalk, year range, and spatial-linkage method.</v>
      </c>
    </row>
    <row r="90" spans="1:36" ht="42.75" customHeight="1">
      <c r="A90" s="1" t="s">
        <v>1471</v>
      </c>
      <c r="B90" s="9" t="s">
        <v>1472</v>
      </c>
      <c r="C90" s="3" t="s">
        <v>1473</v>
      </c>
      <c r="D90" s="13" t="s">
        <v>1474</v>
      </c>
      <c r="E90" s="12" t="s">
        <v>1475</v>
      </c>
      <c r="F90" t="s">
        <v>1476</v>
      </c>
      <c r="G90" s="3" t="s">
        <v>905</v>
      </c>
      <c r="H90" t="s">
        <v>62</v>
      </c>
      <c r="I90" t="s">
        <v>937</v>
      </c>
      <c r="J90" t="s">
        <v>1477</v>
      </c>
      <c r="K90" t="s">
        <v>1478</v>
      </c>
      <c r="L90" s="3" t="s">
        <v>323</v>
      </c>
      <c r="M90" t="s">
        <v>1479</v>
      </c>
      <c r="N90" t="s">
        <v>1480</v>
      </c>
      <c r="O90" t="s">
        <v>1481</v>
      </c>
      <c r="P90" s="3" t="s">
        <v>1481</v>
      </c>
      <c r="Q90" t="s">
        <v>49</v>
      </c>
      <c r="R90" t="s">
        <v>52</v>
      </c>
      <c r="S90" t="s">
        <v>51</v>
      </c>
      <c r="T90" t="s">
        <v>52</v>
      </c>
      <c r="U90" s="12" t="s">
        <v>1482</v>
      </c>
      <c r="V90" t="s">
        <v>1483</v>
      </c>
      <c r="W90" t="s">
        <v>42</v>
      </c>
      <c r="X90" t="s">
        <v>42</v>
      </c>
      <c r="Y90" t="s">
        <v>1484</v>
      </c>
      <c r="Z90" t="s">
        <v>1485</v>
      </c>
      <c r="AA90" t="s">
        <v>1486</v>
      </c>
      <c r="AB90" t="s">
        <v>1487</v>
      </c>
      <c r="AC90" t="s">
        <v>1488</v>
      </c>
      <c r="AE90" s="3" t="s">
        <v>51</v>
      </c>
      <c r="AF90" s="10">
        <v>46226</v>
      </c>
      <c r="AG90" t="s">
        <v>117</v>
      </c>
      <c r="AH90" t="s">
        <v>42</v>
      </c>
      <c r="AI90" s="3" t="s">
        <v>63</v>
      </c>
      <c r="AJ90" s="3" t="str">
        <f t="shared" si="3"/>
        <v>south carolina department of environmental services gis hub scdes gis hub statewide environmental gis hub for discovering, viewing, analyzing, downloading, and accessing scdes maps, dashboards, applications, datasets, apis, and gis services public access without authentication for public datasets; downloads may include csv, kml, zip, geojson, geotiff, and png, with geoservices, wms, and wfs links available for applicable layers. open/public with terms south carolina/local data environmental exposure; sdoh/geospatial; air quality; water quality; coastal resources; land and waste; permits; monitoring; regulatory facilities south carolina environmental gis, scdes, air quality, water quality, coastal gis, hazardous waste, landfills, mines, permits, monitoring stations, pfas, dams, watersheds, arcgis geospatial/area-level air, water, coastal management, land and waste management, environmental monitoring, regulated facilities, permits, contamination, watersheds and environmental hazards south carolina environmental features, monitoring locations, regulated facilities, permitted sites, water bodies, coastal areas and communities monitoring site, facility, permit location, water body, watershed, coastal feature, parcel, point, line, polygon or raster; varies by layer monitoring site, facility, permit location, water body, watershed, coastal feature, parcel, point, line, polygon or raster; varies by layer other high coordinates, facility or site name, permit identifiers, environmental-program category, monitoring location, watershed, water body, county, status, boundaries, pollutant or parameter attributes and application-specific measures environmental-exposure linkage; proximity and buffer analysis; mapping regulated facilities; watershed and coastal analyses; environmental-justice research; identifying permits, monitoring sites and potential exposure sources epa echo; epa frs; epa tri; water quality portal; attains; how’s my waterway; scdnr gis open data; annual nlcd; fema national risk index; american community survey this is a collection of independently maintained layers rather than one harmonized dataset. definitions, geographic resolution, vintages and update schedules vary. scdes states that data may contain errors or omissions, are supplied as-is and should not be treated as legal, engineering or professional advice. public data generally do not require authentication, but service use may be logged. review each layer’s metadata, attribution and terms; do not attempt to access nonpublic underlying systems or data.</v>
      </c>
    </row>
    <row r="91" spans="1:36" ht="42.75" customHeight="1">
      <c r="A91" s="1" t="s">
        <v>1489</v>
      </c>
      <c r="B91" s="8" t="s">
        <v>1490</v>
      </c>
      <c r="C91" s="3" t="s">
        <v>1491</v>
      </c>
      <c r="D91" s="4" t="s">
        <v>1492</v>
      </c>
      <c r="E91" s="1" t="s">
        <v>1493</v>
      </c>
      <c r="F91" s="3" t="s">
        <v>1494</v>
      </c>
      <c r="G91" s="3" t="s">
        <v>224</v>
      </c>
      <c r="H91" s="3" t="s">
        <v>62</v>
      </c>
      <c r="I91" s="3" t="s">
        <v>937</v>
      </c>
      <c r="J91" s="3" t="s">
        <v>1495</v>
      </c>
      <c r="K91" s="3" t="s">
        <v>1496</v>
      </c>
      <c r="L91" s="3" t="s">
        <v>795</v>
      </c>
      <c r="M91" s="3" t="s">
        <v>1497</v>
      </c>
      <c r="N91" s="3" t="s">
        <v>1498</v>
      </c>
      <c r="O91" s="3" t="s">
        <v>942</v>
      </c>
      <c r="P91" s="3" t="s">
        <v>1499</v>
      </c>
      <c r="Q91" s="3" t="s">
        <v>49</v>
      </c>
      <c r="R91" s="3" t="s">
        <v>52</v>
      </c>
      <c r="S91" s="3" t="s">
        <v>51</v>
      </c>
      <c r="T91" s="3" t="s">
        <v>51</v>
      </c>
      <c r="U91" s="1" t="s">
        <v>1500</v>
      </c>
      <c r="V91" s="3" t="s">
        <v>1501</v>
      </c>
      <c r="W91" s="3" t="s">
        <v>42</v>
      </c>
      <c r="X91" s="3" t="s">
        <v>42</v>
      </c>
      <c r="Y91" s="3" t="s">
        <v>1502</v>
      </c>
      <c r="Z91" s="3" t="s">
        <v>1503</v>
      </c>
      <c r="AA91" s="3" t="s">
        <v>1504</v>
      </c>
      <c r="AB91" s="3" t="s">
        <v>1505</v>
      </c>
      <c r="AC91" s="3" t="s">
        <v>1506</v>
      </c>
      <c r="AD91" s="3"/>
      <c r="AE91" s="3" t="s">
        <v>60</v>
      </c>
      <c r="AF91" s="10">
        <v>46226</v>
      </c>
      <c r="AG91" s="3" t="s">
        <v>117</v>
      </c>
      <c r="AH91" s="3" t="s">
        <v>62</v>
      </c>
      <c r="AI91" s="3" t="s">
        <v>63</v>
      </c>
      <c r="AJ91" s="3" t="str">
        <f t="shared" si="3"/>
        <v>south carolina water monitoring portal usda ers arcgis-based statewide application for visualizing, filtering and downloading south carolina water-quality monitoring results public interactive map with filters for water-quality category, sample date, submitting organization, county, watershed and sub-watershed; users may download selected data. open/public south carolina/local data environmental exposure; water quality; surface water; monitoring sites; watersheds; bacteria; nutrients; impaired waters; tmdls south carolina water quality, water monitoring, sc sea grant, college of charleston, water quality portal, monitoring stations, bacteria, nutrients, county, huc10, huc12, watershed, impaired waters, tmdl environmental surface-water quality, monitoring locations, physical and chemical parameters, bacteria, nutrients, watershed conditions, impaired waters and tmdls south carolina water-quality monitoring sites, samples, water bodies and watersheds south carolina monitoring site, sample location, county, watershed, sub-watershed and water body other high monitoring-site identifier, coordinates, collection date, submitting organization, county, watershed, parameter or characteristic name, result value, unit, sample medium and water-quality category link water-quality measurements to communities or health outcomes; identify monitoring coverage; evaluate spatial and temporal water-quality trends; examine bacteria or nutrient measurements; support watershed and environmental-exposure studies national water quality portal; scdes gis hub; scdes watershed atlas; attains; how’s my waterway; waters; usgs stream gauges; census tiger/line; american community survey the portal integrates data from multiple organizations, so sampling designs, parameters, laboratory methods, detection limits, units and temporal coverage differ. the current application is also reporting failures when loading several core layers, including site data, data volume by county, impaired waters and approved tmdl sites. public environmental-monitoring data. retain the submitting-organization identifier, site identifier, result qualifiers, units, analytical method and detection-limit fields. use the original provider or national water quality portal for reproducible extraction and source verification</v>
      </c>
    </row>
    <row r="92" spans="1:36" ht="57" customHeight="1">
      <c r="A92" s="1" t="s">
        <v>1507</v>
      </c>
      <c r="B92" s="9" t="s">
        <v>1508</v>
      </c>
      <c r="C92" s="3" t="s">
        <v>1509</v>
      </c>
      <c r="D92" s="4" t="s">
        <v>1510</v>
      </c>
      <c r="E92" s="1" t="s">
        <v>1511</v>
      </c>
      <c r="F92" s="3" t="s">
        <v>1512</v>
      </c>
      <c r="G92" s="3" t="s">
        <v>905</v>
      </c>
      <c r="H92" s="3" t="s">
        <v>62</v>
      </c>
      <c r="I92" s="3" t="s">
        <v>937</v>
      </c>
      <c r="J92" s="3" t="s">
        <v>1513</v>
      </c>
      <c r="K92" s="3" t="s">
        <v>1514</v>
      </c>
      <c r="L92" s="3" t="s">
        <v>323</v>
      </c>
      <c r="M92" s="3" t="s">
        <v>1515</v>
      </c>
      <c r="N92" s="3" t="s">
        <v>1516</v>
      </c>
      <c r="O92" s="3" t="s">
        <v>942</v>
      </c>
      <c r="P92" s="3" t="s">
        <v>1517</v>
      </c>
      <c r="Q92" s="3" t="s">
        <v>49</v>
      </c>
      <c r="R92" s="3" t="s">
        <v>52</v>
      </c>
      <c r="S92" s="3" t="s">
        <v>51</v>
      </c>
      <c r="T92" s="3" t="s">
        <v>52</v>
      </c>
      <c r="U92" s="1" t="s">
        <v>1518</v>
      </c>
      <c r="V92" s="3" t="s">
        <v>1519</v>
      </c>
      <c r="W92" s="3" t="s">
        <v>42</v>
      </c>
      <c r="X92" s="3" t="s">
        <v>42</v>
      </c>
      <c r="Y92" s="3" t="s">
        <v>1520</v>
      </c>
      <c r="Z92" s="3" t="s">
        <v>1521</v>
      </c>
      <c r="AA92" s="3" t="s">
        <v>1522</v>
      </c>
      <c r="AB92" s="3" t="s">
        <v>1523</v>
      </c>
      <c r="AC92" s="3" t="s">
        <v>1524</v>
      </c>
      <c r="AD92" s="3"/>
      <c r="AE92" s="3" t="s">
        <v>51</v>
      </c>
      <c r="AF92" s="10">
        <v>46226</v>
      </c>
      <c r="AG92" s="3" t="s">
        <v>117</v>
      </c>
      <c r="AH92" s="3" t="s">
        <v>42</v>
      </c>
      <c r="AI92" s="3" t="s">
        <v>63</v>
      </c>
      <c r="AJ92" s="3" t="str">
        <f t="shared" si="3"/>
        <v>south carolina department of natural resources gis open data scdnr arcgis online statewide gis layers, web maps, applications and spatial services covering natural resources, geology, hydrology, wildlife, habitats, public lands, elevation and related environmental features public arcgis online content, web maps, map services and downloadable gis products; availability and formats vary by layer, and some specialized products require a request open/public with terms south carolina/local data environmental exposure; sdoh/geospatial; hydrology; geology; wildlife; habitats; public lands; elevation south carolina gis, scdnr, natural resources, wildlife, habitat, hydrology, geology, public lands, lidar, elevation, wetlands, coastal resources, arcgis geospatial/area-level natural resources, land and water resources, biodiversity, coastal resources, geology, elevation, managed lands and environmental context south carolina environment, natural resources, wildlife habitats, water resources, land areas and managed properties south carolina statewide layers; county; watershed; parcel or managed-land tract; point, line, polygon, raster and site-specific features other high coordinates, boundaries, land ownership or management, habitat type, hydrography, elevation, geology, wells, protected lands, species or biological resources and layer-specific attributes environmental exposure linkage; proximity and buffer analysis; rural and natural-resource context; watershed linkage; public-land access; habitat and coastal analyses; map development scdes gis hub; epa enviroatlas; annual nlcd; pad-us; wqp; fema national risk index; census tiger/line; acs broad portal rather than one standardized dataset; metadata, dates, resolution, completeness and update schedules differ by layer; boundaries may not be legally authoritative; some older products remain available; specialized gis software may be required public data are generally provided as-is; review each layer’s metadata, use limitations, attribution requirements and positional-accuracy statements before analysis</v>
      </c>
    </row>
    <row r="93" spans="1:36" ht="85.5" customHeight="1">
      <c r="A93" s="1" t="s">
        <v>1525</v>
      </c>
      <c r="B93" s="8" t="s">
        <v>1526</v>
      </c>
      <c r="C93" s="3" t="s">
        <v>1527</v>
      </c>
      <c r="D93" s="4" t="s">
        <v>934</v>
      </c>
      <c r="E93" s="1" t="s">
        <v>1528</v>
      </c>
      <c r="F93" s="3" t="s">
        <v>1529</v>
      </c>
      <c r="G93" s="3" t="s">
        <v>224</v>
      </c>
      <c r="H93" s="3" t="s">
        <v>137</v>
      </c>
      <c r="I93" s="3" t="s">
        <v>937</v>
      </c>
      <c r="J93" s="3" t="s">
        <v>1530</v>
      </c>
      <c r="K93" s="3" t="s">
        <v>1531</v>
      </c>
      <c r="L93" s="3" t="s">
        <v>290</v>
      </c>
      <c r="M93" s="3" t="s">
        <v>1532</v>
      </c>
      <c r="N93" s="3" t="s">
        <v>1533</v>
      </c>
      <c r="O93" s="3" t="s">
        <v>942</v>
      </c>
      <c r="P93" s="3" t="s">
        <v>1534</v>
      </c>
      <c r="Q93" s="3" t="s">
        <v>294</v>
      </c>
      <c r="R93" s="3" t="s">
        <v>52</v>
      </c>
      <c r="S93" s="3" t="s">
        <v>51</v>
      </c>
      <c r="T93" s="3" t="s">
        <v>51</v>
      </c>
      <c r="U93" s="1" t="s">
        <v>1535</v>
      </c>
      <c r="V93" s="3" t="s">
        <v>1536</v>
      </c>
      <c r="W93" s="3" t="s">
        <v>42</v>
      </c>
      <c r="X93" s="3" t="s">
        <v>42</v>
      </c>
      <c r="Y93" s="3" t="s">
        <v>1537</v>
      </c>
      <c r="Z93" s="3" t="s">
        <v>1538</v>
      </c>
      <c r="AA93" s="3" t="s">
        <v>1539</v>
      </c>
      <c r="AB93" s="3" t="s">
        <v>1540</v>
      </c>
      <c r="AC93" s="3" t="s">
        <v>1541</v>
      </c>
      <c r="AD93" s="3"/>
      <c r="AE93" s="3" t="s">
        <v>51</v>
      </c>
      <c r="AF93" s="10">
        <v>46226</v>
      </c>
      <c r="AG93" s="3" t="s">
        <v>117</v>
      </c>
      <c r="AH93" s="3" t="s">
        <v>42</v>
      </c>
      <c r="AI93" s="3" t="s">
        <v>63</v>
      </c>
      <c r="AJ93" s="3" t="str">
        <f t="shared" si="3"/>
        <v>south carolina dph data, maps, reports sc sea grant / college of charleston central portal for south carolina public-health dashboards, surveillance reports, statistics, maps and topic-specific data products public dashboards, reports, maps and downloadable summary tables; confidential or record-level health data are not generally distributed through the public portal open/public south carolina/local data chronic disease; cancer; maternal/child health; mental health; substance use; hiv/infectious disease; environmental health; vital statistics south carolina public health, scdph, health dashboard, county health, vital statistics, disease surveillance, hiv, aids, std, mortality, births, environmental health reports/dashboard population health, disease surveillance, mortality, morbidity, maternal and child health, infectious disease, hiv/stis, overdose, environmental health and health-care indicators south carolina residents and topic-specific subpopulations represented in public-health surveillance systems south carolina state, county, health region and other topic-specific reporting geographies report/dashboard high counts, rates, percentages, prevalence, incidence, mortality, demographics, age, sex, race/ethnicity, county, year, disease indicators, risk factors and health outcomes county health profiles; public-health needs assessment; disease-trend analysis; hiv and infectious-disease context; disparity analysis; surveillance summaries; grant and program planning cdc places; cdc wonder; cdc atlasplus; brfss; acs; county health rankings; south carolina health compass; sc tracking; south carolina vital-statistics reports broad collection rather than one harmonized dataset; definitions, denominators, periods and update schedules differ by program; dashboards may suppress unstable or confidential estimates; some reports provide pdfs rather than analysis-ready files public products are primarily aggregated or de-identified; small counts may be suppressed; access to identifiable surveillance, vital-record or patient-level data requires separate authorization and governance review</v>
      </c>
    </row>
    <row r="94" spans="1:36" ht="42.75" customHeight="1">
      <c r="A94" s="1" t="s">
        <v>1542</v>
      </c>
      <c r="B94" s="9" t="s">
        <v>1508</v>
      </c>
      <c r="C94" s="3" t="s">
        <v>1543</v>
      </c>
      <c r="D94" s="4" t="s">
        <v>1544</v>
      </c>
      <c r="E94" s="1" t="s">
        <v>1545</v>
      </c>
      <c r="F94" s="3" t="s">
        <v>1546</v>
      </c>
      <c r="G94" s="3" t="s">
        <v>224</v>
      </c>
      <c r="H94" s="3" t="s">
        <v>137</v>
      </c>
      <c r="I94" s="3" t="s">
        <v>937</v>
      </c>
      <c r="J94" s="3" t="s">
        <v>1547</v>
      </c>
      <c r="K94" s="3" t="s">
        <v>1548</v>
      </c>
      <c r="L94" s="3" t="s">
        <v>323</v>
      </c>
      <c r="M94" s="3" t="s">
        <v>1549</v>
      </c>
      <c r="N94" s="3" t="s">
        <v>1550</v>
      </c>
      <c r="O94" s="3" t="s">
        <v>942</v>
      </c>
      <c r="P94" s="3" t="s">
        <v>1551</v>
      </c>
      <c r="Q94" s="3" t="s">
        <v>49</v>
      </c>
      <c r="R94" s="3" t="s">
        <v>52</v>
      </c>
      <c r="S94" s="3" t="s">
        <v>51</v>
      </c>
      <c r="T94" s="3" t="s">
        <v>52</v>
      </c>
      <c r="U94" s="1" t="s">
        <v>1552</v>
      </c>
      <c r="V94" s="3" t="s">
        <v>1553</v>
      </c>
      <c r="W94" s="3" t="s">
        <v>42</v>
      </c>
      <c r="X94" s="3" t="s">
        <v>42</v>
      </c>
      <c r="Y94" s="3" t="s">
        <v>1554</v>
      </c>
      <c r="Z94" s="3" t="s">
        <v>1555</v>
      </c>
      <c r="AA94" s="3" t="s">
        <v>1556</v>
      </c>
      <c r="AB94" s="3" t="s">
        <v>1557</v>
      </c>
      <c r="AC94" s="3" t="s">
        <v>1558</v>
      </c>
      <c r="AD94" s="3"/>
      <c r="AE94" s="3" t="s">
        <v>51</v>
      </c>
      <c r="AF94" s="10">
        <v>46226</v>
      </c>
      <c r="AG94" s="3" t="s">
        <v>117</v>
      </c>
      <c r="AH94" s="3" t="s">
        <v>42</v>
      </c>
      <c r="AI94" s="3" t="s">
        <v>63</v>
      </c>
      <c r="AJ94" s="3" t="str">
        <f>LOWER(_xlfn.SINGLE(_xlfn.TEXTJOIN(" ", TRUE, B90, C90, E94, F94, G94, I94, J94, K94, L94, M94, N94, O94, P94, Q94, X94, Y94, Z94, AA94, AB94, AC94, AD94)))</f>
        <v>south carolina department of environmental services gis hub scdes gis hub public gis hub for discovering, viewing, downloading, and accessing south carolina natural-resource and environmental spatial datasets public arcgis hub; downloadable formats include csv, kml, zip, geojson, geotiff, and png; geoservices, wms, wfs, and other api links may be available by layer open/public south carolina/local data environmental exposure; sdoh/geospatial; land cover; geology; hydrology; biodiversity; wildlife; coastal resources; public lands scdnr, south carolina gis, natural resources, environmental gis, geology, hydrology, wildlife, habitat, public lands, coastal resources, land cover, lidar, arcgis geospatial/area-level natural resources, land cover, geology, elevation, hydrography, habitats, wildlife, fisheries, coastal resources, public lands and recreational access south carolina lands, waters, natural resources, habitats, wildlife populations and managed properties south carolina points, sites, lines, polygons, watersheds, counties, managed-land tracts and raster grid cells; varies by layer other high coordinates, feature boundaries, area, land-cover class, elevation, geology, hydrography, habitat type, species-related attributes, ownership or management status, facility or access-point characteristics environmental and geographic linkage; proximity and buffer analysis; watershed context; habitat and biodiversity research; public-land and recreation access; rural and coastal analyses scdes gis hub; annual nlcd; pad-us; water quality portal; prism; gridmet; fema national risk index; census tiger/line; american community survey portal contains many independently produced layers; vintages, completeness, resolution, coordinate systems and update schedules differ; some layers are historical; mapped boundaries may not represent legal property boundaries review each layer’s metadata, attribution, license and use constraints; retain source agency and dataset version; do not treat reference boundaries as legally authoritative</v>
      </c>
    </row>
    <row r="95" spans="1:36" ht="42.75" customHeight="1">
      <c r="A95" s="1" t="s">
        <v>1559</v>
      </c>
      <c r="B95" s="8" t="s">
        <v>1526</v>
      </c>
      <c r="C95" s="3" t="s">
        <v>1560</v>
      </c>
      <c r="D95" s="4" t="s">
        <v>1561</v>
      </c>
      <c r="E95" s="1" t="s">
        <v>1562</v>
      </c>
      <c r="F95" s="3" t="s">
        <v>1563</v>
      </c>
      <c r="G95" s="3" t="s">
        <v>224</v>
      </c>
      <c r="H95" s="3" t="s">
        <v>137</v>
      </c>
      <c r="I95" s="3" t="s">
        <v>937</v>
      </c>
      <c r="J95" s="3" t="s">
        <v>1564</v>
      </c>
      <c r="K95" s="3" t="s">
        <v>1565</v>
      </c>
      <c r="L95" s="3" t="s">
        <v>290</v>
      </c>
      <c r="M95" s="3" t="s">
        <v>1566</v>
      </c>
      <c r="N95" s="3" t="s">
        <v>1567</v>
      </c>
      <c r="O95" s="3" t="s">
        <v>942</v>
      </c>
      <c r="P95" s="3" t="s">
        <v>1568</v>
      </c>
      <c r="Q95" s="3" t="s">
        <v>294</v>
      </c>
      <c r="R95" s="3" t="s">
        <v>52</v>
      </c>
      <c r="S95" s="3" t="s">
        <v>51</v>
      </c>
      <c r="T95" s="3" t="s">
        <v>52</v>
      </c>
      <c r="U95" s="1" t="s">
        <v>1569</v>
      </c>
      <c r="V95" s="3" t="s">
        <v>1570</v>
      </c>
      <c r="W95" s="3" t="s">
        <v>62</v>
      </c>
      <c r="X95" s="3" t="s">
        <v>42</v>
      </c>
      <c r="Y95" s="3" t="s">
        <v>1571</v>
      </c>
      <c r="Z95" s="3" t="s">
        <v>1572</v>
      </c>
      <c r="AA95" s="3" t="s">
        <v>1573</v>
      </c>
      <c r="AB95" s="3" t="s">
        <v>1574</v>
      </c>
      <c r="AC95" s="3" t="s">
        <v>1575</v>
      </c>
      <c r="AD95" s="3"/>
      <c r="AE95" s="3" t="s">
        <v>60</v>
      </c>
      <c r="AF95" s="10">
        <v>46226</v>
      </c>
      <c r="AG95" s="3" t="s">
        <v>117</v>
      </c>
      <c r="AH95" s="3" t="s">
        <v>62</v>
      </c>
      <c r="AI95" s="3" t="s">
        <v>63</v>
      </c>
      <c r="AJ95" s="3" t="str">
        <f t="shared" ref="AJ95:AJ104" si="4">LOWER(_xlfn.SINGLE(_xlfn.TEXTJOIN(" ", TRUE, B95, C95, E95, F95, G95, I95, J95, K95, L95, M95, N95, O95, P95, Q95, X95, Y95, Z95, AA95, AB95, AC95, AD95)))</f>
        <v>south carolina dph data, maps, reports data, maps, reports public landing page for interactive health applications, service-location maps, monitoring tools, assessments and other south carolina public-health mapping products public web applications and interactive maps; download, api and export functionality vary by individual application; no unified bulk download open/public south carolina/local data hiv/infectious disease; health care utilization/cost; sdoh/geospatial; cancer; environmental exposure; food/nutrition; provider locations south carolina dph, health maps, health applications, clinic locator, hiv clinic, std clinic, hepatitis clinic, health facility, cancer map, rabies, mosquito disease, food desert, vaccine location reports/dashboard health-service access, clinic and facility locations, vaccination, cancer, hiv/sti/hepatitis services, mosquito-borne disease, rabies, food markets and food access south carolina residents, health-service users, facilities, providers and populations represented in application-specific public-health data south carolina state, county, facility, clinic, provider location, service area and other application-specific geography report/dashboard high facility or clinic name, service type, address, coordinates, county, provider category, disease or monitoring indicator, counts, rates and application-specific geographic measures locate hiv/sti/hepatitis clinics and other health services; map geographic access to care; identify facility locations; support community needs assessments; examine food access and selected public-health monitoring indicators sc dph public health data; sc dph all data dashboards; sc tracking; sc health compass; hiv, aids &amp; stds data and reports; census tiger/line; american community survey this is an application directory rather than one harmonized dataset; content, definitions, years, refresh schedules and export options differ by application; some tools are designed for service discovery rather than statistical analysis public products generally contain aggregated, nonidentifiable or facility-location information; individual-level surveillance and clinical records require separate authorization; review each application’s privacy and suppression rules</v>
      </c>
    </row>
    <row r="96" spans="1:36" ht="28.5" customHeight="1">
      <c r="A96" s="1" t="s">
        <v>1576</v>
      </c>
      <c r="B96" s="8" t="s">
        <v>1577</v>
      </c>
      <c r="C96" s="3" t="s">
        <v>1578</v>
      </c>
      <c r="D96" s="4" t="s">
        <v>1579</v>
      </c>
      <c r="E96" s="1"/>
      <c r="F96" s="3"/>
      <c r="G96" s="3"/>
      <c r="H96" s="3"/>
      <c r="I96" s="3"/>
      <c r="J96" s="3"/>
      <c r="K96" s="3"/>
      <c r="L96" s="3"/>
      <c r="M96" s="3"/>
      <c r="N96" s="3"/>
      <c r="O96" s="3"/>
      <c r="Q96" s="3"/>
      <c r="R96" s="3"/>
      <c r="S96" s="3"/>
      <c r="T96" s="3"/>
      <c r="U96" s="1"/>
      <c r="V96" s="3"/>
      <c r="W96" s="3"/>
      <c r="X96" s="3"/>
      <c r="Y96" s="3"/>
      <c r="Z96" s="3"/>
      <c r="AA96" s="3"/>
      <c r="AB96" s="3"/>
      <c r="AC96" s="3"/>
      <c r="AD96" s="3"/>
      <c r="AE96" s="3"/>
      <c r="AF96" s="10"/>
      <c r="AG96" s="3"/>
      <c r="AH96" s="3"/>
      <c r="AI96" s="3"/>
      <c r="AJ96" s="3" t="str">
        <f t="shared" si="4"/>
        <v>national survey of children's health the natonal survey of children's health</v>
      </c>
    </row>
    <row r="97" spans="1:36" ht="28.5" customHeight="1">
      <c r="A97" s="1" t="s">
        <v>1580</v>
      </c>
      <c r="B97" s="8" t="s">
        <v>1581</v>
      </c>
      <c r="C97" s="3" t="s">
        <v>1582</v>
      </c>
      <c r="D97" s="4" t="s">
        <v>1583</v>
      </c>
      <c r="E97" s="1"/>
      <c r="F97" s="3"/>
      <c r="G97" s="3"/>
      <c r="H97" s="3"/>
      <c r="I97" s="3"/>
      <c r="J97" s="3"/>
      <c r="K97" s="3"/>
      <c r="L97" s="3"/>
      <c r="M97" s="3"/>
      <c r="N97" s="3"/>
      <c r="O97" s="3"/>
      <c r="Q97" s="3"/>
      <c r="R97" s="3"/>
      <c r="S97" s="3"/>
      <c r="T97" s="3"/>
      <c r="U97" s="1"/>
      <c r="V97" s="3"/>
      <c r="W97" s="3"/>
      <c r="X97" s="3"/>
      <c r="Y97" s="3"/>
      <c r="Z97" s="3"/>
      <c r="AA97" s="3"/>
      <c r="AB97" s="3"/>
      <c r="AC97" s="3"/>
      <c r="AD97" s="3"/>
      <c r="AE97" s="3"/>
      <c r="AF97" s="10"/>
      <c r="AG97" s="3"/>
      <c r="AH97" s="3"/>
      <c r="AI97" s="3"/>
      <c r="AJ97" s="3" t="str">
        <f t="shared" si="4"/>
        <v>national ambulatory medical care survey national ambulatory medica care survey</v>
      </c>
    </row>
    <row r="98" spans="1:36">
      <c r="A98" s="1" t="s">
        <v>1584</v>
      </c>
      <c r="B98" s="8" t="s">
        <v>1585</v>
      </c>
      <c r="C98" s="3" t="s">
        <v>1585</v>
      </c>
      <c r="D98" s="13" t="s">
        <v>1586</v>
      </c>
      <c r="E98" s="1"/>
      <c r="F98" s="3"/>
      <c r="G98" s="3"/>
      <c r="H98" s="3"/>
      <c r="I98" s="3"/>
      <c r="J98" s="3"/>
      <c r="K98" s="3"/>
      <c r="L98" s="3"/>
      <c r="M98" s="3"/>
      <c r="N98" s="3"/>
      <c r="O98" s="3"/>
      <c r="Q98" s="3"/>
      <c r="R98" s="3"/>
      <c r="S98" s="3"/>
      <c r="T98" s="3"/>
      <c r="U98" s="1"/>
      <c r="V98" s="3"/>
      <c r="W98" s="3"/>
      <c r="X98" s="3"/>
      <c r="Y98" s="3"/>
      <c r="Z98" s="3"/>
      <c r="AA98" s="3"/>
      <c r="AB98" s="3"/>
      <c r="AC98" s="3"/>
      <c r="AD98" s="3"/>
      <c r="AE98" s="3"/>
      <c r="AF98" s="10"/>
      <c r="AG98" s="3"/>
      <c r="AH98" s="3"/>
      <c r="AI98" s="3"/>
      <c r="AJ98" s="3" t="str">
        <f t="shared" si="4"/>
        <v>national hospital care survey national hospital care survey</v>
      </c>
    </row>
    <row r="99" spans="1:36" ht="28.5" customHeight="1">
      <c r="A99" s="1" t="s">
        <v>1587</v>
      </c>
      <c r="B99" s="8" t="s">
        <v>1588</v>
      </c>
      <c r="C99" s="3" t="s">
        <v>1589</v>
      </c>
      <c r="D99" s="13" t="s">
        <v>1590</v>
      </c>
      <c r="E99" s="1"/>
      <c r="F99" s="3"/>
      <c r="G99" s="3"/>
      <c r="H99" s="3"/>
      <c r="I99" s="3"/>
      <c r="J99" s="3"/>
      <c r="K99" s="3"/>
      <c r="L99" s="3"/>
      <c r="M99" s="3"/>
      <c r="N99" s="3"/>
      <c r="O99" s="3"/>
      <c r="Q99" s="3"/>
      <c r="R99" s="3"/>
      <c r="S99" s="3"/>
      <c r="T99" s="3"/>
      <c r="U99" s="1"/>
      <c r="V99" s="3"/>
      <c r="W99" s="3"/>
      <c r="X99" s="3"/>
      <c r="Y99" s="3"/>
      <c r="Z99" s="3"/>
      <c r="AA99" s="3"/>
      <c r="AB99" s="3"/>
      <c r="AC99" s="3"/>
      <c r="AD99" s="3"/>
      <c r="AE99" s="3"/>
      <c r="AF99" s="10"/>
      <c r="AG99" s="3"/>
      <c r="AH99" s="3"/>
      <c r="AI99" s="3"/>
      <c r="AJ99" s="3" t="str">
        <f t="shared" si="4"/>
        <v>national notifiable diseases surveillance system national notifiable diseases surveilance system (nndss)</v>
      </c>
    </row>
    <row r="100" spans="1:36" ht="28.5" customHeight="1">
      <c r="A100" s="1" t="s">
        <v>1591</v>
      </c>
      <c r="B100" s="8" t="s">
        <v>1592</v>
      </c>
      <c r="C100" s="3" t="s">
        <v>1592</v>
      </c>
      <c r="D100" s="13" t="s">
        <v>1593</v>
      </c>
      <c r="E100" s="1"/>
      <c r="F100" s="3"/>
      <c r="G100" s="3"/>
      <c r="H100" s="3"/>
      <c r="I100" s="3"/>
      <c r="J100" s="3"/>
      <c r="K100" s="3"/>
      <c r="L100" s="3"/>
      <c r="M100" s="3"/>
      <c r="N100" s="3"/>
      <c r="O100" s="3"/>
      <c r="Q100" s="3"/>
      <c r="R100" s="3"/>
      <c r="S100" s="3"/>
      <c r="T100" s="3"/>
      <c r="U100" s="1"/>
      <c r="V100" s="3"/>
      <c r="W100" s="3"/>
      <c r="X100" s="3"/>
      <c r="Y100" s="3"/>
      <c r="Z100" s="3"/>
      <c r="AA100" s="3"/>
      <c r="AB100" s="3"/>
      <c r="AC100" s="3"/>
      <c r="AD100" s="3"/>
      <c r="AE100" s="3"/>
      <c r="AF100" s="10"/>
      <c r="AG100" s="3"/>
      <c r="AH100" s="3"/>
      <c r="AI100" s="3"/>
      <c r="AJ100" s="3" t="str">
        <f t="shared" si="4"/>
        <v>national sleep research resource national sleep research resource</v>
      </c>
    </row>
    <row r="101" spans="1:36">
      <c r="A101" s="1" t="s">
        <v>1594</v>
      </c>
      <c r="B101" s="8" t="s">
        <v>1595</v>
      </c>
      <c r="C101" s="3" t="s">
        <v>1595</v>
      </c>
      <c r="D101" s="13" t="s">
        <v>1596</v>
      </c>
      <c r="E101" s="1"/>
      <c r="F101" s="3"/>
      <c r="G101" s="3"/>
      <c r="H101" s="3"/>
      <c r="I101" s="3"/>
      <c r="J101" s="3"/>
      <c r="K101" s="3"/>
      <c r="L101" s="3"/>
      <c r="M101" s="3"/>
      <c r="N101" s="3"/>
      <c r="O101" s="3"/>
      <c r="Q101" s="3"/>
      <c r="R101" s="3"/>
      <c r="S101" s="3"/>
      <c r="T101" s="3"/>
      <c r="U101" s="1"/>
      <c r="V101" s="3"/>
      <c r="W101" s="3"/>
      <c r="X101" s="3"/>
      <c r="Y101" s="3"/>
      <c r="Z101" s="3"/>
      <c r="AA101" s="3"/>
      <c r="AB101" s="3"/>
      <c r="AC101" s="3"/>
      <c r="AD101" s="3"/>
      <c r="AE101" s="3"/>
      <c r="AF101" s="10"/>
      <c r="AG101" s="3"/>
      <c r="AH101" s="3"/>
      <c r="AI101" s="3"/>
      <c r="AJ101" s="3" t="str">
        <f t="shared" si="4"/>
        <v>nimh data archive nimh data archive</v>
      </c>
    </row>
    <row r="102" spans="1:36" ht="28.5" customHeight="1">
      <c r="A102" s="1" t="s">
        <v>1597</v>
      </c>
      <c r="B102" s="8" t="s">
        <v>1598</v>
      </c>
      <c r="C102" s="3" t="s">
        <v>1599</v>
      </c>
      <c r="D102" s="13" t="s">
        <v>1600</v>
      </c>
      <c r="E102" s="1"/>
      <c r="F102" s="3"/>
      <c r="G102" s="3"/>
      <c r="H102" s="3"/>
      <c r="I102" s="3"/>
      <c r="J102" s="3"/>
      <c r="K102" s="3"/>
      <c r="L102" s="3"/>
      <c r="M102" s="3"/>
      <c r="N102" s="3"/>
      <c r="O102" s="3"/>
      <c r="Q102" s="3"/>
      <c r="R102" s="3"/>
      <c r="S102" s="3"/>
      <c r="T102" s="3"/>
      <c r="U102" s="1"/>
      <c r="V102" s="3"/>
      <c r="W102" s="3"/>
      <c r="X102" s="3"/>
      <c r="Y102" s="3"/>
      <c r="Z102" s="3"/>
      <c r="AA102" s="3"/>
      <c r="AB102" s="3"/>
      <c r="AC102" s="3"/>
      <c r="AD102" s="3"/>
      <c r="AE102" s="3"/>
      <c r="AF102" s="10"/>
      <c r="AG102" s="3"/>
      <c r="AH102" s="3"/>
      <c r="AI102" s="3"/>
      <c r="AJ102" s="3" t="str">
        <f t="shared" si="4"/>
        <v>united states renal data system the united states renal data system (usrds)</v>
      </c>
    </row>
    <row r="103" spans="1:36" ht="28.5" customHeight="1">
      <c r="A103" s="1" t="s">
        <v>1601</v>
      </c>
      <c r="B103" s="8" t="s">
        <v>1602</v>
      </c>
      <c r="C103" s="3" t="s">
        <v>1603</v>
      </c>
      <c r="D103" s="13" t="s">
        <v>1604</v>
      </c>
      <c r="E103" s="1"/>
      <c r="F103" s="3"/>
      <c r="G103" s="3"/>
      <c r="H103" s="3"/>
      <c r="I103" s="3"/>
      <c r="J103" s="3"/>
      <c r="K103" s="3"/>
      <c r="L103" s="3"/>
      <c r="M103" s="3"/>
      <c r="N103" s="3"/>
      <c r="O103" s="3"/>
      <c r="Q103" s="3"/>
      <c r="R103" s="3"/>
      <c r="S103" s="3"/>
      <c r="T103" s="3"/>
      <c r="U103" s="1"/>
      <c r="V103" s="3"/>
      <c r="W103" s="3"/>
      <c r="X103" s="3"/>
      <c r="Y103" s="3"/>
      <c r="Z103" s="3"/>
      <c r="AA103" s="3"/>
      <c r="AB103" s="3"/>
      <c r="AC103" s="3"/>
      <c r="AD103" s="3"/>
      <c r="AE103" s="3"/>
      <c r="AF103" s="10"/>
      <c r="AG103" s="3"/>
      <c r="AH103" s="3"/>
      <c r="AI103" s="3"/>
      <c r="AJ103" s="3" t="str">
        <f t="shared" si="4"/>
        <v>national emergency medical services information system nemsis</v>
      </c>
    </row>
    <row r="104" spans="1:36" ht="42.75" customHeight="1">
      <c r="A104" s="1" t="s">
        <v>1605</v>
      </c>
      <c r="B104" s="8" t="s">
        <v>1606</v>
      </c>
      <c r="C104" s="3" t="s">
        <v>1607</v>
      </c>
      <c r="D104" s="13" t="s">
        <v>1608</v>
      </c>
      <c r="E104" s="1" t="s">
        <v>1609</v>
      </c>
      <c r="F104" s="3"/>
      <c r="G104" s="3"/>
      <c r="H104" s="3"/>
      <c r="I104" s="3"/>
      <c r="J104" s="3"/>
      <c r="K104" s="3"/>
      <c r="L104" s="3"/>
      <c r="M104" s="3"/>
      <c r="N104" s="3"/>
      <c r="O104" s="3"/>
      <c r="Q104" s="3"/>
      <c r="R104" s="3"/>
      <c r="S104" s="3"/>
      <c r="T104" s="3"/>
      <c r="U104" s="1"/>
      <c r="V104" s="3"/>
      <c r="W104" s="3"/>
      <c r="X104" s="3"/>
      <c r="Y104" s="3"/>
      <c r="Z104" s="3"/>
      <c r="AA104" s="3"/>
      <c r="AB104" s="3"/>
      <c r="AC104" s="3"/>
      <c r="AD104" s="3"/>
      <c r="AE104" s="3"/>
      <c r="AF104" s="10"/>
      <c r="AG104" s="3"/>
      <c r="AH104" s="3"/>
      <c r="AI104" s="3"/>
      <c r="AJ104" s="3" t="str">
        <f t="shared" si="4"/>
        <v>health information national trends survey hints nationally representative data about the american public's knowledge of, attitudes toward, and use of cancer- and health-related information</v>
      </c>
    </row>
    <row r="105" spans="1:36" ht="71.25">
      <c r="A105" s="1" t="s">
        <v>1624</v>
      </c>
      <c r="B105" s="8" t="s">
        <v>1610</v>
      </c>
      <c r="C105" s="3" t="s">
        <v>1610</v>
      </c>
      <c r="D105" s="13" t="s">
        <v>1611</v>
      </c>
      <c r="E105" s="1" t="s">
        <v>1612</v>
      </c>
      <c r="F105" s="3" t="s">
        <v>160</v>
      </c>
      <c r="G105" s="3" t="s">
        <v>160</v>
      </c>
      <c r="H105" s="3" t="s">
        <v>62</v>
      </c>
      <c r="I105" s="3" t="s">
        <v>580</v>
      </c>
      <c r="J105" s="3" t="s">
        <v>1613</v>
      </c>
      <c r="K105" s="3" t="s">
        <v>1614</v>
      </c>
      <c r="L105" s="3" t="s">
        <v>126</v>
      </c>
      <c r="M105" s="3" t="s">
        <v>1615</v>
      </c>
      <c r="N105" s="3" t="s">
        <v>1616</v>
      </c>
      <c r="O105" s="3" t="s">
        <v>48</v>
      </c>
      <c r="P105" t="s">
        <v>49</v>
      </c>
      <c r="Q105" s="3" t="s">
        <v>75</v>
      </c>
      <c r="R105" s="3" t="s">
        <v>51</v>
      </c>
      <c r="S105" s="3" t="s">
        <v>51</v>
      </c>
      <c r="T105" s="3" t="s">
        <v>51</v>
      </c>
      <c r="U105" s="1" t="s">
        <v>1617</v>
      </c>
      <c r="V105" s="3" t="s">
        <v>54</v>
      </c>
      <c r="W105" s="3" t="s">
        <v>129</v>
      </c>
      <c r="X105" s="3" t="s">
        <v>62</v>
      </c>
      <c r="Y105" s="3" t="s">
        <v>1618</v>
      </c>
      <c r="Z105" s="3" t="s">
        <v>1619</v>
      </c>
      <c r="AA105" s="3" t="s">
        <v>1620</v>
      </c>
      <c r="AB105" s="3" t="s">
        <v>1621</v>
      </c>
      <c r="AC105" s="3" t="s">
        <v>1622</v>
      </c>
      <c r="AD105" s="3"/>
      <c r="AE105" s="3"/>
      <c r="AF105" s="3"/>
      <c r="AG105" s="3"/>
      <c r="AH105" s="3"/>
      <c r="AI105" s="3"/>
      <c r="AJ105" s="3" t="s">
        <v>1623</v>
      </c>
    </row>
    <row r="106" spans="1:36">
      <c r="A106" s="3"/>
      <c r="B106" s="3"/>
      <c r="C106" s="3"/>
      <c r="D106" s="1"/>
      <c r="E106" s="1"/>
      <c r="F106" s="3"/>
      <c r="G106" s="3"/>
      <c r="H106" s="3"/>
      <c r="I106" s="3"/>
      <c r="J106" s="3"/>
      <c r="K106" s="3"/>
      <c r="L106" s="3"/>
      <c r="M106" s="3"/>
      <c r="N106" s="3"/>
      <c r="O106" s="3"/>
      <c r="Q106" s="3"/>
      <c r="R106" s="3"/>
      <c r="S106" s="3"/>
      <c r="T106" s="3"/>
      <c r="U106" s="1"/>
      <c r="V106" s="3"/>
      <c r="W106" s="3"/>
      <c r="X106" s="3"/>
      <c r="Y106" s="3"/>
      <c r="Z106" s="3"/>
      <c r="AA106" s="3"/>
      <c r="AB106" s="3"/>
      <c r="AC106" s="3"/>
      <c r="AD106" s="3"/>
      <c r="AE106" s="3"/>
      <c r="AF106" s="3"/>
      <c r="AG106" s="3"/>
      <c r="AH106" s="3"/>
      <c r="AI106" s="3"/>
      <c r="AJ106" s="3"/>
    </row>
    <row r="107" spans="1:36">
      <c r="A107" s="3"/>
      <c r="B107" s="3"/>
      <c r="C107" s="3"/>
      <c r="D107" s="1"/>
      <c r="E107" s="1"/>
      <c r="F107" s="3"/>
      <c r="G107" s="3"/>
      <c r="H107" s="3"/>
      <c r="I107" s="3"/>
      <c r="J107" s="3"/>
      <c r="K107" s="3"/>
      <c r="L107" s="3"/>
      <c r="M107" s="3"/>
      <c r="N107" s="3"/>
      <c r="O107" s="3"/>
      <c r="Q107" s="3"/>
      <c r="R107" s="3"/>
      <c r="S107" s="3"/>
      <c r="T107" s="3"/>
      <c r="U107" s="1"/>
      <c r="V107" s="3"/>
      <c r="W107" s="3"/>
      <c r="X107" s="3"/>
      <c r="Y107" s="3"/>
      <c r="Z107" s="3"/>
      <c r="AA107" s="3"/>
      <c r="AB107" s="3"/>
      <c r="AC107" s="3"/>
      <c r="AD107" s="3"/>
      <c r="AE107" s="3"/>
      <c r="AF107" s="3"/>
      <c r="AG107" s="3"/>
      <c r="AH107" s="3"/>
      <c r="AI107" s="3"/>
      <c r="AJ107" s="3"/>
    </row>
    <row r="108" spans="1:36">
      <c r="A108" s="3"/>
      <c r="B108" s="3"/>
      <c r="C108" s="3"/>
      <c r="D108" s="1"/>
      <c r="E108" s="1"/>
      <c r="F108" s="3"/>
      <c r="G108" s="3"/>
      <c r="H108" s="3"/>
      <c r="I108" s="3"/>
      <c r="J108" s="3"/>
      <c r="K108" s="3"/>
      <c r="L108" s="3"/>
      <c r="M108" s="3"/>
      <c r="N108" s="3"/>
      <c r="O108" s="3"/>
      <c r="Q108" s="3"/>
      <c r="R108" s="3"/>
      <c r="S108" s="3"/>
      <c r="T108" s="3"/>
      <c r="U108" s="1"/>
      <c r="V108" s="3"/>
      <c r="W108" s="3"/>
      <c r="X108" s="3"/>
      <c r="Y108" s="3"/>
      <c r="Z108" s="3"/>
      <c r="AA108" s="3"/>
      <c r="AB108" s="3"/>
      <c r="AC108" s="3"/>
      <c r="AD108" s="3"/>
      <c r="AE108" s="3"/>
      <c r="AF108" s="3"/>
      <c r="AG108" s="3"/>
      <c r="AH108" s="3"/>
      <c r="AI108" s="3"/>
      <c r="AJ108" s="3"/>
    </row>
    <row r="109" spans="1:36">
      <c r="A109" s="3"/>
      <c r="B109" s="3"/>
      <c r="C109" s="3"/>
      <c r="D109" s="1"/>
      <c r="E109" s="1"/>
      <c r="F109" s="3"/>
      <c r="G109" s="3"/>
      <c r="H109" s="3"/>
      <c r="I109" s="3"/>
      <c r="J109" s="3"/>
      <c r="K109" s="3"/>
      <c r="L109" s="3"/>
      <c r="M109" s="3"/>
      <c r="N109" s="3"/>
      <c r="O109" s="3"/>
      <c r="Q109" s="3"/>
      <c r="R109" s="3"/>
      <c r="S109" s="3"/>
      <c r="T109" s="3"/>
      <c r="U109" s="1"/>
      <c r="V109" s="3"/>
      <c r="W109" s="3"/>
      <c r="X109" s="3"/>
      <c r="Y109" s="3"/>
      <c r="Z109" s="3"/>
      <c r="AA109" s="3"/>
      <c r="AB109" s="3"/>
      <c r="AC109" s="3"/>
      <c r="AD109" s="3"/>
      <c r="AE109" s="3"/>
      <c r="AF109" s="3"/>
      <c r="AG109" s="3"/>
      <c r="AH109" s="3"/>
      <c r="AI109" s="3"/>
      <c r="AJ109" s="3"/>
    </row>
    <row r="110" spans="1:36">
      <c r="A110" s="3"/>
      <c r="B110" s="3"/>
      <c r="C110" s="3"/>
      <c r="D110" s="1"/>
      <c r="E110" s="1"/>
      <c r="F110" s="3"/>
      <c r="G110" s="3"/>
      <c r="H110" s="3"/>
      <c r="I110" s="3"/>
      <c r="J110" s="3"/>
      <c r="K110" s="3"/>
      <c r="L110" s="3"/>
      <c r="M110" s="3"/>
      <c r="N110" s="3"/>
      <c r="O110" s="3"/>
      <c r="Q110" s="3"/>
      <c r="R110" s="3"/>
      <c r="S110" s="3"/>
      <c r="T110" s="3"/>
      <c r="U110" s="1"/>
      <c r="V110" s="3"/>
      <c r="W110" s="3"/>
      <c r="X110" s="3"/>
      <c r="Y110" s="3"/>
      <c r="Z110" s="3"/>
      <c r="AA110" s="3"/>
      <c r="AB110" s="3"/>
      <c r="AC110" s="3"/>
      <c r="AD110" s="3"/>
      <c r="AE110" s="3"/>
      <c r="AF110" s="3"/>
      <c r="AG110" s="3"/>
      <c r="AH110" s="3"/>
      <c r="AI110" s="3"/>
      <c r="AJ110" s="3"/>
    </row>
    <row r="111" spans="1:36">
      <c r="A111" s="3"/>
      <c r="B111" s="3"/>
      <c r="C111" s="3"/>
      <c r="D111" s="1"/>
      <c r="E111" s="1"/>
      <c r="F111" s="3"/>
      <c r="G111" s="3"/>
      <c r="H111" s="3"/>
      <c r="I111" s="3"/>
      <c r="J111" s="3"/>
      <c r="K111" s="3"/>
      <c r="L111" s="3"/>
      <c r="M111" s="3"/>
      <c r="N111" s="3"/>
      <c r="O111" s="3"/>
      <c r="Q111" s="3"/>
      <c r="R111" s="3"/>
      <c r="S111" s="3"/>
      <c r="T111" s="3"/>
      <c r="U111" s="1"/>
      <c r="V111" s="3"/>
      <c r="W111" s="3"/>
      <c r="X111" s="3"/>
      <c r="Y111" s="3"/>
      <c r="Z111" s="3"/>
      <c r="AA111" s="3"/>
      <c r="AB111" s="3"/>
      <c r="AC111" s="3"/>
      <c r="AD111" s="3"/>
      <c r="AE111" s="3"/>
      <c r="AF111" s="3"/>
      <c r="AG111" s="3"/>
      <c r="AH111" s="3"/>
      <c r="AI111" s="3"/>
      <c r="AJ111" s="3"/>
    </row>
    <row r="112" spans="1:36">
      <c r="A112" s="3"/>
      <c r="B112" s="3"/>
      <c r="C112" s="3"/>
      <c r="D112" s="1"/>
      <c r="E112" s="1"/>
      <c r="F112" s="3"/>
      <c r="G112" s="3"/>
      <c r="H112" s="3"/>
      <c r="I112" s="3"/>
      <c r="J112" s="3"/>
      <c r="K112" s="3"/>
      <c r="L112" s="3"/>
      <c r="M112" s="3"/>
      <c r="N112" s="3"/>
      <c r="O112" s="3"/>
      <c r="Q112" s="3"/>
      <c r="R112" s="3"/>
      <c r="S112" s="3"/>
      <c r="T112" s="3"/>
      <c r="U112" s="1"/>
      <c r="V112" s="3"/>
      <c r="W112" s="3"/>
      <c r="X112" s="3"/>
      <c r="Y112" s="3"/>
      <c r="Z112" s="3"/>
      <c r="AA112" s="3"/>
      <c r="AB112" s="3"/>
      <c r="AC112" s="3"/>
      <c r="AD112" s="3"/>
      <c r="AE112" s="3"/>
      <c r="AF112" s="3"/>
      <c r="AG112" s="3"/>
      <c r="AH112" s="3"/>
      <c r="AI112" s="3"/>
      <c r="AJ112" s="3"/>
    </row>
    <row r="113" spans="1:36">
      <c r="A113" s="3"/>
      <c r="B113" s="3"/>
      <c r="C113" s="3"/>
      <c r="D113" s="1"/>
      <c r="E113" s="1"/>
      <c r="F113" s="3"/>
      <c r="G113" s="3"/>
      <c r="H113" s="3"/>
      <c r="I113" s="3"/>
      <c r="J113" s="3"/>
      <c r="K113" s="3"/>
      <c r="L113" s="3"/>
      <c r="M113" s="3"/>
      <c r="N113" s="3"/>
      <c r="O113" s="3"/>
      <c r="Q113" s="3"/>
      <c r="R113" s="3"/>
      <c r="S113" s="3"/>
      <c r="T113" s="3"/>
      <c r="U113" s="1"/>
      <c r="V113" s="3"/>
      <c r="W113" s="3"/>
      <c r="X113" s="3"/>
      <c r="Y113" s="3"/>
      <c r="Z113" s="3"/>
      <c r="AA113" s="3"/>
      <c r="AB113" s="3"/>
      <c r="AC113" s="3"/>
      <c r="AD113" s="3"/>
      <c r="AE113" s="3"/>
      <c r="AF113" s="3"/>
      <c r="AG113" s="3"/>
      <c r="AH113" s="3"/>
      <c r="AI113" s="3"/>
      <c r="AJ113" s="3"/>
    </row>
    <row r="114" spans="1:36">
      <c r="A114" s="3"/>
      <c r="B114" s="3"/>
      <c r="C114" s="3"/>
      <c r="D114" s="1"/>
      <c r="E114" s="1"/>
      <c r="F114" s="3"/>
      <c r="G114" s="3"/>
      <c r="H114" s="3"/>
      <c r="I114" s="3"/>
      <c r="J114" s="3"/>
      <c r="K114" s="3"/>
      <c r="L114" s="3"/>
      <c r="M114" s="3"/>
      <c r="N114" s="3"/>
      <c r="O114" s="3"/>
      <c r="Q114" s="3"/>
      <c r="R114" s="3"/>
      <c r="S114" s="3"/>
      <c r="T114" s="3"/>
      <c r="U114" s="1"/>
      <c r="V114" s="3"/>
      <c r="W114" s="3"/>
      <c r="X114" s="3"/>
      <c r="Y114" s="3"/>
      <c r="Z114" s="3"/>
      <c r="AA114" s="3"/>
      <c r="AB114" s="3"/>
      <c r="AC114" s="3"/>
      <c r="AD114" s="3"/>
      <c r="AE114" s="3"/>
      <c r="AF114" s="3"/>
      <c r="AG114" s="3"/>
      <c r="AH114" s="3"/>
      <c r="AI114" s="3"/>
      <c r="AJ114" s="3"/>
    </row>
    <row r="115" spans="1:36">
      <c r="A115" s="3"/>
      <c r="B115" s="3"/>
      <c r="C115" s="3"/>
      <c r="D115" s="1"/>
      <c r="E115" s="1"/>
      <c r="F115" s="3"/>
      <c r="G115" s="3"/>
      <c r="H115" s="3"/>
      <c r="I115" s="3"/>
      <c r="J115" s="3"/>
      <c r="K115" s="3"/>
      <c r="L115" s="3"/>
      <c r="M115" s="3"/>
      <c r="N115" s="3"/>
      <c r="O115" s="3"/>
      <c r="Q115" s="3"/>
      <c r="R115" s="3"/>
      <c r="S115" s="3"/>
      <c r="T115" s="3"/>
      <c r="U115" s="1"/>
      <c r="V115" s="3"/>
      <c r="W115" s="3"/>
      <c r="X115" s="3"/>
      <c r="Y115" s="3"/>
      <c r="Z115" s="3"/>
      <c r="AA115" s="3"/>
      <c r="AB115" s="3"/>
      <c r="AC115" s="3"/>
      <c r="AD115" s="3"/>
      <c r="AE115" s="3"/>
      <c r="AF115" s="3"/>
      <c r="AG115" s="3"/>
      <c r="AH115" s="3"/>
      <c r="AI115" s="3"/>
      <c r="AJ115" s="3"/>
    </row>
    <row r="116" spans="1:36">
      <c r="A116" s="3"/>
      <c r="B116" s="3"/>
      <c r="C116" s="3"/>
      <c r="D116" s="1"/>
      <c r="E116" s="1"/>
      <c r="F116" s="3"/>
      <c r="G116" s="3"/>
      <c r="H116" s="3"/>
      <c r="I116" s="3"/>
      <c r="J116" s="3"/>
      <c r="K116" s="3"/>
      <c r="L116" s="3"/>
      <c r="M116" s="3"/>
      <c r="N116" s="3"/>
      <c r="O116" s="3"/>
      <c r="Q116" s="3"/>
      <c r="R116" s="3"/>
      <c r="S116" s="3"/>
      <c r="T116" s="3"/>
      <c r="U116" s="1"/>
      <c r="V116" s="3"/>
      <c r="W116" s="3"/>
      <c r="X116" s="3"/>
      <c r="Y116" s="3"/>
      <c r="Z116" s="3"/>
      <c r="AA116" s="3"/>
      <c r="AB116" s="3"/>
      <c r="AC116" s="3"/>
      <c r="AD116" s="3"/>
      <c r="AE116" s="3"/>
      <c r="AF116" s="3"/>
      <c r="AG116" s="3"/>
      <c r="AH116" s="3"/>
      <c r="AI116" s="3"/>
      <c r="AJ116" s="3"/>
    </row>
    <row r="117" spans="1:36">
      <c r="A117" s="3"/>
      <c r="B117" s="3"/>
      <c r="C117" s="3"/>
      <c r="D117" s="1"/>
      <c r="E117" s="1"/>
      <c r="F117" s="3"/>
      <c r="G117" s="3"/>
      <c r="H117" s="3"/>
      <c r="I117" s="3"/>
      <c r="J117" s="3"/>
      <c r="K117" s="3"/>
      <c r="L117" s="3"/>
      <c r="M117" s="3"/>
      <c r="N117" s="3"/>
      <c r="O117" s="3"/>
      <c r="Q117" s="3"/>
      <c r="R117" s="3"/>
      <c r="S117" s="3"/>
      <c r="T117" s="3"/>
      <c r="U117" s="1"/>
      <c r="V117" s="3"/>
      <c r="W117" s="3"/>
      <c r="X117" s="3"/>
      <c r="Y117" s="3"/>
      <c r="Z117" s="3"/>
      <c r="AA117" s="3"/>
      <c r="AB117" s="3"/>
      <c r="AC117" s="3"/>
      <c r="AD117" s="3"/>
      <c r="AE117" s="3"/>
      <c r="AF117" s="3"/>
      <c r="AG117" s="3"/>
      <c r="AH117" s="3"/>
      <c r="AI117" s="3"/>
      <c r="AJ117" s="3"/>
    </row>
    <row r="118" spans="1:36">
      <c r="A118" s="3"/>
      <c r="B118" s="3"/>
      <c r="C118" s="3"/>
      <c r="D118" s="1"/>
      <c r="E118" s="1"/>
      <c r="F118" s="3"/>
      <c r="G118" s="3"/>
      <c r="H118" s="3"/>
      <c r="I118" s="3"/>
      <c r="J118" s="3"/>
      <c r="K118" s="3"/>
      <c r="L118" s="3"/>
      <c r="M118" s="3"/>
      <c r="N118" s="3"/>
      <c r="O118" s="3"/>
      <c r="Q118" s="3"/>
      <c r="R118" s="3"/>
      <c r="S118" s="3"/>
      <c r="T118" s="3"/>
      <c r="U118" s="1"/>
      <c r="V118" s="3"/>
      <c r="W118" s="3"/>
      <c r="X118" s="3"/>
      <c r="Y118" s="3"/>
      <c r="Z118" s="3"/>
      <c r="AA118" s="3"/>
      <c r="AB118" s="3"/>
      <c r="AC118" s="3"/>
      <c r="AD118" s="3"/>
      <c r="AE118" s="3"/>
      <c r="AF118" s="3"/>
      <c r="AG118" s="3"/>
      <c r="AH118" s="3"/>
      <c r="AI118" s="3"/>
      <c r="AJ118" s="3"/>
    </row>
    <row r="119" spans="1:36">
      <c r="A119" s="3"/>
      <c r="B119" s="3"/>
      <c r="C119" s="3"/>
      <c r="D119" s="1"/>
      <c r="E119" s="1"/>
      <c r="F119" s="3"/>
      <c r="G119" s="3"/>
      <c r="H119" s="3"/>
      <c r="I119" s="3"/>
      <c r="J119" s="3"/>
      <c r="K119" s="3"/>
      <c r="L119" s="3"/>
      <c r="M119" s="3"/>
      <c r="N119" s="3"/>
      <c r="O119" s="3"/>
      <c r="Q119" s="3"/>
      <c r="R119" s="3"/>
      <c r="S119" s="3"/>
      <c r="T119" s="3"/>
      <c r="U119" s="1"/>
      <c r="V119" s="3"/>
      <c r="W119" s="3"/>
      <c r="X119" s="3"/>
      <c r="Y119" s="3"/>
      <c r="Z119" s="3"/>
      <c r="AA119" s="3"/>
      <c r="AB119" s="3"/>
      <c r="AC119" s="3"/>
      <c r="AD119" s="3"/>
      <c r="AE119" s="3"/>
      <c r="AF119" s="3"/>
      <c r="AG119" s="3"/>
      <c r="AH119" s="3"/>
      <c r="AI119" s="3"/>
      <c r="AJ119" s="3"/>
    </row>
    <row r="120" spans="1:36">
      <c r="A120" s="3"/>
      <c r="B120" s="3"/>
      <c r="C120" s="3"/>
      <c r="D120" s="1"/>
      <c r="E120" s="1"/>
      <c r="F120" s="3"/>
      <c r="G120" s="3"/>
      <c r="H120" s="3"/>
      <c r="I120" s="3"/>
      <c r="J120" s="3"/>
      <c r="K120" s="3"/>
      <c r="L120" s="3"/>
      <c r="M120" s="3"/>
      <c r="N120" s="3"/>
      <c r="O120" s="3"/>
      <c r="Q120" s="3"/>
      <c r="R120" s="3"/>
      <c r="S120" s="3"/>
      <c r="T120" s="3"/>
      <c r="U120" s="1"/>
      <c r="V120" s="3"/>
      <c r="W120" s="3"/>
      <c r="X120" s="3"/>
      <c r="Y120" s="3"/>
      <c r="Z120" s="3"/>
      <c r="AA120" s="3"/>
      <c r="AB120" s="3"/>
      <c r="AC120" s="3"/>
      <c r="AD120" s="3"/>
      <c r="AE120" s="3"/>
      <c r="AF120" s="3"/>
      <c r="AG120" s="3"/>
      <c r="AH120" s="3"/>
      <c r="AI120" s="3"/>
      <c r="AJ120" s="3"/>
    </row>
    <row r="121" spans="1:36">
      <c r="A121" s="3"/>
      <c r="B121" s="3"/>
      <c r="C121" s="3"/>
      <c r="D121" s="1"/>
      <c r="E121" s="1"/>
      <c r="F121" s="3"/>
      <c r="G121" s="3"/>
      <c r="H121" s="3"/>
      <c r="I121" s="3"/>
      <c r="J121" s="3"/>
      <c r="K121" s="3"/>
      <c r="L121" s="3"/>
      <c r="M121" s="3"/>
      <c r="N121" s="3"/>
      <c r="O121" s="3"/>
      <c r="Q121" s="3"/>
      <c r="R121" s="3"/>
      <c r="S121" s="3"/>
      <c r="T121" s="3"/>
      <c r="U121" s="1"/>
      <c r="V121" s="3"/>
      <c r="W121" s="3"/>
      <c r="X121" s="3"/>
      <c r="Y121" s="3"/>
      <c r="Z121" s="3"/>
      <c r="AA121" s="3"/>
      <c r="AB121" s="3"/>
      <c r="AC121" s="3"/>
      <c r="AD121" s="3"/>
      <c r="AE121" s="3"/>
      <c r="AF121" s="3"/>
      <c r="AG121" s="3"/>
      <c r="AH121" s="3"/>
      <c r="AI121" s="3"/>
      <c r="AJ121" s="3"/>
    </row>
    <row r="122" spans="1:36">
      <c r="A122" s="3"/>
      <c r="B122" s="3"/>
      <c r="C122" s="3"/>
      <c r="D122" s="1"/>
      <c r="E122" s="1"/>
      <c r="F122" s="3"/>
      <c r="G122" s="3"/>
      <c r="H122" s="3"/>
      <c r="I122" s="3"/>
      <c r="J122" s="3"/>
      <c r="K122" s="3"/>
      <c r="L122" s="3"/>
      <c r="M122" s="3"/>
      <c r="N122" s="3"/>
      <c r="O122" s="3"/>
      <c r="Q122" s="3"/>
      <c r="R122" s="3"/>
      <c r="S122" s="3"/>
      <c r="T122" s="3"/>
      <c r="U122" s="1"/>
      <c r="V122" s="3"/>
      <c r="W122" s="3"/>
      <c r="X122" s="3"/>
      <c r="Y122" s="3"/>
      <c r="Z122" s="3"/>
      <c r="AA122" s="3"/>
      <c r="AB122" s="3"/>
      <c r="AC122" s="3"/>
      <c r="AD122" s="3"/>
      <c r="AE122" s="3"/>
      <c r="AF122" s="3"/>
      <c r="AG122" s="3"/>
      <c r="AH122" s="3"/>
      <c r="AI122" s="3"/>
      <c r="AJ122" s="3"/>
    </row>
    <row r="123" spans="1:36">
      <c r="A123" s="3"/>
      <c r="B123" s="3"/>
      <c r="C123" s="3"/>
      <c r="D123" s="1"/>
      <c r="E123" s="1"/>
      <c r="F123" s="3"/>
      <c r="G123" s="3"/>
      <c r="H123" s="3"/>
      <c r="I123" s="3"/>
      <c r="J123" s="3"/>
      <c r="K123" s="3"/>
      <c r="L123" s="3"/>
      <c r="M123" s="3"/>
      <c r="N123" s="3"/>
      <c r="O123" s="3"/>
      <c r="Q123" s="3"/>
      <c r="R123" s="3"/>
      <c r="S123" s="3"/>
      <c r="T123" s="3"/>
      <c r="U123" s="1"/>
      <c r="V123" s="3"/>
      <c r="W123" s="3"/>
      <c r="X123" s="3"/>
      <c r="Y123" s="3"/>
      <c r="Z123" s="3"/>
      <c r="AA123" s="3"/>
      <c r="AB123" s="3"/>
      <c r="AC123" s="3"/>
      <c r="AD123" s="3"/>
      <c r="AE123" s="3"/>
      <c r="AF123" s="3"/>
      <c r="AG123" s="3"/>
      <c r="AH123" s="3"/>
      <c r="AI123" s="3"/>
      <c r="AJ123" s="3"/>
    </row>
    <row r="124" spans="1:36">
      <c r="A124" s="3"/>
      <c r="B124" s="3"/>
      <c r="C124" s="3"/>
      <c r="D124" s="1"/>
      <c r="E124" s="1"/>
      <c r="F124" s="3"/>
      <c r="G124" s="3"/>
      <c r="H124" s="3"/>
      <c r="I124" s="3"/>
      <c r="J124" s="3"/>
      <c r="K124" s="3"/>
      <c r="L124" s="3"/>
      <c r="M124" s="3"/>
      <c r="N124" s="3"/>
      <c r="O124" s="3"/>
      <c r="Q124" s="3"/>
      <c r="R124" s="3"/>
      <c r="S124" s="3"/>
      <c r="T124" s="3"/>
      <c r="U124" s="1"/>
      <c r="V124" s="3"/>
      <c r="W124" s="3"/>
      <c r="X124" s="3"/>
      <c r="Y124" s="3"/>
      <c r="Z124" s="3"/>
      <c r="AA124" s="3"/>
      <c r="AB124" s="3"/>
      <c r="AC124" s="3"/>
      <c r="AD124" s="3"/>
      <c r="AE124" s="3"/>
      <c r="AF124" s="3"/>
      <c r="AG124" s="3"/>
      <c r="AH124" s="3"/>
      <c r="AI124" s="3"/>
      <c r="AJ124" s="3"/>
    </row>
    <row r="125" spans="1:36">
      <c r="A125" s="3"/>
      <c r="B125" s="3"/>
      <c r="C125" s="3"/>
      <c r="D125" s="1"/>
      <c r="E125" s="1"/>
      <c r="F125" s="3"/>
      <c r="G125" s="3"/>
      <c r="H125" s="3"/>
      <c r="I125" s="3"/>
      <c r="J125" s="3"/>
      <c r="K125" s="3"/>
      <c r="L125" s="3"/>
      <c r="M125" s="3"/>
      <c r="N125" s="3"/>
      <c r="O125" s="3"/>
      <c r="Q125" s="3"/>
      <c r="R125" s="3"/>
      <c r="S125" s="3"/>
      <c r="T125" s="3"/>
      <c r="U125" s="1"/>
      <c r="V125" s="3"/>
      <c r="W125" s="3"/>
      <c r="X125" s="3"/>
      <c r="Y125" s="3"/>
      <c r="Z125" s="3"/>
      <c r="AA125" s="3"/>
      <c r="AB125" s="3"/>
      <c r="AC125" s="3"/>
      <c r="AD125" s="3"/>
      <c r="AE125" s="3"/>
      <c r="AF125" s="3"/>
      <c r="AG125" s="3"/>
      <c r="AH125" s="3"/>
      <c r="AI125" s="3"/>
      <c r="AJ125" s="3"/>
    </row>
    <row r="126" spans="1:36">
      <c r="A126" s="3"/>
      <c r="B126" s="3"/>
      <c r="C126" s="3"/>
      <c r="D126" s="1"/>
      <c r="E126" s="1"/>
      <c r="F126" s="3"/>
      <c r="G126" s="3"/>
      <c r="H126" s="3"/>
      <c r="I126" s="3"/>
      <c r="J126" s="3"/>
      <c r="K126" s="3"/>
      <c r="L126" s="3"/>
      <c r="M126" s="3"/>
      <c r="N126" s="3"/>
      <c r="O126" s="3"/>
      <c r="Q126" s="3"/>
      <c r="R126" s="3"/>
      <c r="S126" s="3"/>
      <c r="T126" s="3"/>
      <c r="U126" s="1"/>
      <c r="V126" s="3"/>
      <c r="W126" s="3"/>
      <c r="X126" s="3"/>
      <c r="Y126" s="3"/>
      <c r="Z126" s="3"/>
      <c r="AA126" s="3"/>
      <c r="AB126" s="3"/>
      <c r="AC126" s="3"/>
      <c r="AD126" s="3"/>
      <c r="AE126" s="3"/>
      <c r="AF126" s="3"/>
      <c r="AG126" s="3"/>
      <c r="AH126" s="3"/>
      <c r="AI126" s="3"/>
      <c r="AJ126" s="3"/>
    </row>
    <row r="127" spans="1:36">
      <c r="A127" s="3"/>
      <c r="B127" s="3"/>
      <c r="C127" s="3"/>
      <c r="D127" s="1"/>
      <c r="E127" s="1"/>
      <c r="F127" s="3"/>
      <c r="G127" s="3"/>
      <c r="H127" s="3"/>
      <c r="I127" s="3"/>
      <c r="J127" s="3"/>
      <c r="K127" s="3"/>
      <c r="L127" s="3"/>
      <c r="M127" s="3"/>
      <c r="N127" s="3"/>
      <c r="O127" s="3"/>
      <c r="Q127" s="3"/>
      <c r="R127" s="3"/>
      <c r="S127" s="3"/>
      <c r="T127" s="3"/>
      <c r="U127" s="1"/>
      <c r="V127" s="3"/>
      <c r="W127" s="3"/>
      <c r="X127" s="3"/>
      <c r="Y127" s="3"/>
      <c r="Z127" s="3"/>
      <c r="AA127" s="3"/>
      <c r="AB127" s="3"/>
      <c r="AC127" s="3"/>
      <c r="AD127" s="3"/>
      <c r="AE127" s="3"/>
      <c r="AF127" s="3"/>
      <c r="AG127" s="3"/>
      <c r="AH127" s="3"/>
      <c r="AI127" s="3"/>
      <c r="AJ127" s="3"/>
    </row>
    <row r="128" spans="1:36">
      <c r="A128" s="3"/>
      <c r="B128" s="3"/>
      <c r="C128" s="3"/>
      <c r="D128" s="1"/>
      <c r="E128" s="1"/>
      <c r="F128" s="3"/>
      <c r="G128" s="3"/>
      <c r="H128" s="3"/>
      <c r="I128" s="3"/>
      <c r="J128" s="3"/>
      <c r="K128" s="3"/>
      <c r="L128" s="3"/>
      <c r="M128" s="3"/>
      <c r="N128" s="3"/>
      <c r="O128" s="3"/>
      <c r="Q128" s="3"/>
      <c r="R128" s="3"/>
      <c r="S128" s="3"/>
      <c r="T128" s="3"/>
      <c r="U128" s="1"/>
      <c r="V128" s="3"/>
      <c r="W128" s="3"/>
      <c r="X128" s="3"/>
      <c r="Y128" s="3"/>
      <c r="Z128" s="3"/>
      <c r="AA128" s="3"/>
      <c r="AB128" s="3"/>
      <c r="AC128" s="3"/>
      <c r="AD128" s="3"/>
      <c r="AE128" s="3"/>
      <c r="AF128" s="3"/>
      <c r="AG128" s="3"/>
      <c r="AH128" s="3"/>
      <c r="AI128" s="3"/>
      <c r="AJ128" s="3"/>
    </row>
    <row r="129" spans="1:36">
      <c r="A129" s="3"/>
      <c r="B129" s="3"/>
      <c r="C129" s="3"/>
      <c r="D129" s="1"/>
      <c r="E129" s="1"/>
      <c r="F129" s="3"/>
      <c r="G129" s="3"/>
      <c r="H129" s="3"/>
      <c r="I129" s="3"/>
      <c r="J129" s="3"/>
      <c r="K129" s="3"/>
      <c r="L129" s="3"/>
      <c r="M129" s="3"/>
      <c r="N129" s="3"/>
      <c r="O129" s="3"/>
      <c r="Q129" s="3"/>
      <c r="R129" s="3"/>
      <c r="S129" s="3"/>
      <c r="T129" s="3"/>
      <c r="U129" s="1"/>
      <c r="V129" s="3"/>
      <c r="W129" s="3"/>
      <c r="X129" s="3"/>
      <c r="Y129" s="3"/>
      <c r="Z129" s="3"/>
      <c r="AA129" s="3"/>
      <c r="AB129" s="3"/>
      <c r="AC129" s="3"/>
      <c r="AD129" s="3"/>
      <c r="AE129" s="3"/>
      <c r="AF129" s="3"/>
      <c r="AG129" s="3"/>
      <c r="AH129" s="3"/>
      <c r="AI129" s="3"/>
      <c r="AJ129" s="3"/>
    </row>
    <row r="130" spans="1:36">
      <c r="A130" s="3"/>
      <c r="B130" s="3"/>
      <c r="C130" s="3"/>
      <c r="D130" s="1"/>
      <c r="E130" s="1"/>
      <c r="F130" s="3"/>
      <c r="G130" s="3"/>
      <c r="H130" s="3"/>
      <c r="I130" s="3"/>
      <c r="J130" s="3"/>
      <c r="K130" s="3"/>
      <c r="L130" s="3"/>
      <c r="M130" s="3"/>
      <c r="N130" s="3"/>
      <c r="O130" s="3"/>
      <c r="Q130" s="3"/>
      <c r="R130" s="3"/>
      <c r="S130" s="3"/>
      <c r="T130" s="3"/>
      <c r="U130" s="1"/>
      <c r="V130" s="3"/>
      <c r="W130" s="3"/>
      <c r="X130" s="3"/>
      <c r="Y130" s="3"/>
      <c r="Z130" s="3"/>
      <c r="AA130" s="3"/>
      <c r="AB130" s="3"/>
      <c r="AC130" s="3"/>
      <c r="AD130" s="3"/>
      <c r="AE130" s="3"/>
      <c r="AF130" s="3"/>
      <c r="AG130" s="3"/>
      <c r="AH130" s="3"/>
      <c r="AI130" s="3"/>
      <c r="AJ130" s="3"/>
    </row>
    <row r="131" spans="1:36">
      <c r="A131" s="3"/>
      <c r="B131" s="3"/>
      <c r="C131" s="3"/>
      <c r="D131" s="1"/>
      <c r="E131" s="1"/>
      <c r="F131" s="3"/>
      <c r="G131" s="3"/>
      <c r="H131" s="3"/>
      <c r="I131" s="3"/>
      <c r="J131" s="3"/>
      <c r="K131" s="3"/>
      <c r="L131" s="3"/>
      <c r="M131" s="3"/>
      <c r="N131" s="3"/>
      <c r="O131" s="3"/>
      <c r="Q131" s="3"/>
      <c r="R131" s="3"/>
      <c r="S131" s="3"/>
      <c r="T131" s="3"/>
      <c r="U131" s="1"/>
      <c r="V131" s="3"/>
      <c r="W131" s="3"/>
      <c r="X131" s="3"/>
      <c r="Y131" s="3"/>
      <c r="Z131" s="3"/>
      <c r="AA131" s="3"/>
      <c r="AB131" s="3"/>
      <c r="AC131" s="3"/>
      <c r="AD131" s="3"/>
      <c r="AE131" s="3"/>
      <c r="AF131" s="3"/>
      <c r="AG131" s="3"/>
      <c r="AH131" s="3"/>
      <c r="AI131" s="3"/>
      <c r="AJ131" s="3"/>
    </row>
    <row r="132" spans="1:36">
      <c r="A132" s="3"/>
      <c r="B132" s="3"/>
      <c r="C132" s="3"/>
      <c r="D132" s="1"/>
      <c r="E132" s="1"/>
      <c r="F132" s="3"/>
      <c r="G132" s="3"/>
      <c r="H132" s="3"/>
      <c r="I132" s="3"/>
      <c r="J132" s="3"/>
      <c r="K132" s="3"/>
      <c r="L132" s="3"/>
      <c r="M132" s="3"/>
      <c r="N132" s="3"/>
      <c r="O132" s="3"/>
      <c r="Q132" s="3"/>
      <c r="R132" s="3"/>
      <c r="S132" s="3"/>
      <c r="T132" s="3"/>
      <c r="U132" s="1"/>
      <c r="V132" s="3"/>
      <c r="W132" s="3"/>
      <c r="X132" s="3"/>
      <c r="Y132" s="3"/>
      <c r="Z132" s="3"/>
      <c r="AA132" s="3"/>
      <c r="AB132" s="3"/>
      <c r="AC132" s="3"/>
      <c r="AD132" s="3"/>
      <c r="AE132" s="3"/>
      <c r="AF132" s="3"/>
      <c r="AG132" s="3"/>
      <c r="AH132" s="3"/>
      <c r="AI132" s="3"/>
      <c r="AJ132" s="3"/>
    </row>
    <row r="133" spans="1:36">
      <c r="A133" s="3"/>
      <c r="B133" s="3"/>
      <c r="C133" s="3"/>
      <c r="D133" s="1"/>
      <c r="E133" s="1"/>
      <c r="F133" s="3"/>
      <c r="G133" s="3"/>
      <c r="H133" s="3"/>
      <c r="I133" s="3"/>
      <c r="J133" s="3"/>
      <c r="K133" s="3"/>
      <c r="L133" s="3"/>
      <c r="M133" s="3"/>
      <c r="N133" s="3"/>
      <c r="O133" s="3"/>
      <c r="Q133" s="3"/>
      <c r="R133" s="3"/>
      <c r="S133" s="3"/>
      <c r="T133" s="3"/>
      <c r="U133" s="1"/>
      <c r="V133" s="3"/>
      <c r="W133" s="3"/>
      <c r="X133" s="3"/>
      <c r="Y133" s="3"/>
      <c r="Z133" s="3"/>
      <c r="AA133" s="3"/>
      <c r="AB133" s="3"/>
      <c r="AC133" s="3"/>
      <c r="AD133" s="3"/>
      <c r="AE133" s="3"/>
      <c r="AF133" s="3"/>
      <c r="AG133" s="3"/>
      <c r="AH133" s="3"/>
      <c r="AI133" s="3"/>
      <c r="AJ133" s="3"/>
    </row>
    <row r="134" spans="1:36">
      <c r="A134" s="3"/>
      <c r="B134" s="3"/>
      <c r="C134" s="3"/>
      <c r="D134" s="1"/>
      <c r="E134" s="1"/>
      <c r="F134" s="3"/>
      <c r="G134" s="3"/>
      <c r="H134" s="3"/>
      <c r="I134" s="3"/>
      <c r="J134" s="3"/>
      <c r="K134" s="3"/>
      <c r="L134" s="3"/>
      <c r="M134" s="3"/>
      <c r="N134" s="3"/>
      <c r="O134" s="3"/>
      <c r="Q134" s="3"/>
      <c r="R134" s="3"/>
      <c r="S134" s="3"/>
      <c r="T134" s="3"/>
      <c r="U134" s="1"/>
      <c r="V134" s="3"/>
      <c r="W134" s="3"/>
      <c r="X134" s="3"/>
      <c r="Y134" s="3"/>
      <c r="Z134" s="3"/>
      <c r="AA134" s="3"/>
      <c r="AB134" s="3"/>
      <c r="AC134" s="3"/>
      <c r="AD134" s="3"/>
      <c r="AE134" s="3"/>
      <c r="AF134" s="3"/>
      <c r="AG134" s="3"/>
      <c r="AH134" s="3"/>
      <c r="AI134" s="3"/>
      <c r="AJ134" s="3"/>
    </row>
    <row r="135" spans="1:36">
      <c r="A135" s="3"/>
      <c r="B135" s="3"/>
      <c r="C135" s="3"/>
      <c r="D135" s="1"/>
      <c r="E135" s="1"/>
      <c r="F135" s="3"/>
      <c r="G135" s="3"/>
      <c r="H135" s="3"/>
      <c r="I135" s="3"/>
      <c r="J135" s="3"/>
      <c r="K135" s="3"/>
      <c r="L135" s="3"/>
      <c r="M135" s="3"/>
      <c r="N135" s="3"/>
      <c r="O135" s="3"/>
      <c r="Q135" s="3"/>
      <c r="R135" s="3"/>
      <c r="S135" s="3"/>
      <c r="T135" s="3"/>
      <c r="U135" s="1"/>
      <c r="V135" s="3"/>
      <c r="W135" s="3"/>
      <c r="X135" s="3"/>
      <c r="Y135" s="3"/>
      <c r="Z135" s="3"/>
      <c r="AA135" s="3"/>
      <c r="AB135" s="3"/>
      <c r="AC135" s="3"/>
      <c r="AD135" s="3"/>
      <c r="AE135" s="3"/>
      <c r="AF135" s="3"/>
      <c r="AG135" s="3"/>
      <c r="AH135" s="3"/>
      <c r="AI135" s="3"/>
      <c r="AJ135" s="3"/>
    </row>
    <row r="136" spans="1:36">
      <c r="A136" s="3"/>
      <c r="B136" s="3"/>
      <c r="C136" s="3"/>
      <c r="D136" s="1"/>
      <c r="E136" s="1"/>
      <c r="F136" s="3"/>
      <c r="G136" s="3"/>
      <c r="H136" s="3"/>
      <c r="I136" s="3"/>
      <c r="J136" s="3"/>
      <c r="K136" s="3"/>
      <c r="L136" s="3"/>
      <c r="M136" s="3"/>
      <c r="N136" s="3"/>
      <c r="O136" s="3"/>
      <c r="Q136" s="3"/>
      <c r="R136" s="3"/>
      <c r="S136" s="3"/>
      <c r="T136" s="3"/>
      <c r="U136" s="1"/>
      <c r="V136" s="3"/>
      <c r="W136" s="3"/>
      <c r="X136" s="3"/>
      <c r="Y136" s="3"/>
      <c r="Z136" s="3"/>
      <c r="AA136" s="3"/>
      <c r="AB136" s="3"/>
      <c r="AC136" s="3"/>
      <c r="AD136" s="3"/>
      <c r="AE136" s="3"/>
      <c r="AF136" s="3"/>
      <c r="AG136" s="3"/>
      <c r="AH136" s="3"/>
      <c r="AI136" s="3"/>
      <c r="AJ136" s="3"/>
    </row>
    <row r="137" spans="1:36">
      <c r="A137" s="3"/>
      <c r="B137" s="3"/>
      <c r="C137" s="3"/>
      <c r="D137" s="1"/>
      <c r="E137" s="1"/>
      <c r="F137" s="3"/>
      <c r="G137" s="3"/>
      <c r="H137" s="3"/>
      <c r="I137" s="3"/>
      <c r="J137" s="3"/>
      <c r="K137" s="3"/>
      <c r="L137" s="3"/>
      <c r="M137" s="3"/>
      <c r="N137" s="3"/>
      <c r="O137" s="3"/>
      <c r="Q137" s="3"/>
      <c r="R137" s="3"/>
      <c r="S137" s="3"/>
      <c r="T137" s="3"/>
      <c r="U137" s="1"/>
      <c r="V137" s="3"/>
      <c r="W137" s="3"/>
      <c r="X137" s="3"/>
      <c r="Y137" s="3"/>
      <c r="Z137" s="3"/>
      <c r="AA137" s="3"/>
      <c r="AB137" s="3"/>
      <c r="AC137" s="3"/>
      <c r="AD137" s="3"/>
      <c r="AE137" s="3"/>
      <c r="AF137" s="3"/>
      <c r="AG137" s="3"/>
      <c r="AH137" s="3"/>
      <c r="AI137" s="3"/>
      <c r="AJ137" s="3"/>
    </row>
    <row r="138" spans="1:36">
      <c r="A138" s="3"/>
      <c r="B138" s="3"/>
      <c r="C138" s="3"/>
      <c r="D138" s="1"/>
      <c r="E138" s="1"/>
      <c r="F138" s="3"/>
      <c r="G138" s="3"/>
      <c r="H138" s="3"/>
      <c r="I138" s="3"/>
      <c r="J138" s="3"/>
      <c r="K138" s="3"/>
      <c r="L138" s="3"/>
      <c r="M138" s="3"/>
      <c r="N138" s="3"/>
      <c r="O138" s="3"/>
      <c r="Q138" s="3"/>
      <c r="R138" s="3"/>
      <c r="S138" s="3"/>
      <c r="T138" s="3"/>
      <c r="U138" s="1"/>
      <c r="V138" s="3"/>
      <c r="W138" s="3"/>
      <c r="X138" s="3"/>
      <c r="Y138" s="3"/>
      <c r="Z138" s="3"/>
      <c r="AA138" s="3"/>
      <c r="AB138" s="3"/>
      <c r="AC138" s="3"/>
      <c r="AD138" s="3"/>
      <c r="AE138" s="3"/>
      <c r="AF138" s="3"/>
      <c r="AG138" s="3"/>
      <c r="AH138" s="3"/>
      <c r="AI138" s="3"/>
      <c r="AJ138" s="3"/>
    </row>
    <row r="139" spans="1:36">
      <c r="A139" s="3"/>
      <c r="B139" s="3"/>
      <c r="C139" s="3"/>
      <c r="D139" s="1"/>
      <c r="E139" s="1"/>
      <c r="F139" s="3"/>
      <c r="G139" s="3"/>
      <c r="H139" s="3"/>
      <c r="I139" s="3"/>
      <c r="J139" s="3"/>
      <c r="K139" s="3"/>
      <c r="L139" s="3"/>
      <c r="M139" s="3"/>
      <c r="N139" s="3"/>
      <c r="O139" s="3"/>
      <c r="Q139" s="3"/>
      <c r="R139" s="3"/>
      <c r="S139" s="3"/>
      <c r="T139" s="3"/>
      <c r="U139" s="1"/>
      <c r="V139" s="3"/>
      <c r="W139" s="3"/>
      <c r="X139" s="3"/>
      <c r="Y139" s="3"/>
      <c r="Z139" s="3"/>
      <c r="AA139" s="3"/>
      <c r="AB139" s="3"/>
      <c r="AC139" s="3"/>
      <c r="AD139" s="3"/>
      <c r="AE139" s="3"/>
      <c r="AF139" s="3"/>
      <c r="AG139" s="3"/>
      <c r="AH139" s="3"/>
      <c r="AI139" s="3"/>
      <c r="AJ139" s="3"/>
    </row>
    <row r="140" spans="1:36">
      <c r="A140" s="3"/>
      <c r="B140" s="3"/>
      <c r="C140" s="3"/>
      <c r="D140" s="1"/>
      <c r="E140" s="1"/>
      <c r="F140" s="3"/>
      <c r="G140" s="3"/>
      <c r="H140" s="3"/>
      <c r="I140" s="3"/>
      <c r="J140" s="3"/>
      <c r="K140" s="3"/>
      <c r="L140" s="3"/>
      <c r="M140" s="3"/>
      <c r="N140" s="3"/>
      <c r="O140" s="3"/>
      <c r="Q140" s="3"/>
      <c r="R140" s="3"/>
      <c r="S140" s="3"/>
      <c r="T140" s="3"/>
      <c r="U140" s="1"/>
      <c r="V140" s="3"/>
      <c r="W140" s="3"/>
      <c r="X140" s="3"/>
      <c r="Y140" s="3"/>
      <c r="Z140" s="3"/>
      <c r="AA140" s="3"/>
      <c r="AB140" s="3"/>
      <c r="AC140" s="3"/>
      <c r="AD140" s="3"/>
      <c r="AE140" s="3"/>
      <c r="AF140" s="3"/>
      <c r="AG140" s="3"/>
      <c r="AH140" s="3"/>
      <c r="AI140" s="3"/>
      <c r="AJ140" s="3"/>
    </row>
    <row r="141" spans="1:36">
      <c r="A141" s="3"/>
      <c r="B141" s="3"/>
      <c r="C141" s="3"/>
      <c r="D141" s="1"/>
      <c r="E141" s="1"/>
      <c r="F141" s="3"/>
      <c r="G141" s="3"/>
      <c r="H141" s="3"/>
      <c r="I141" s="3"/>
      <c r="J141" s="3"/>
      <c r="K141" s="3"/>
      <c r="L141" s="3"/>
      <c r="M141" s="3"/>
      <c r="N141" s="3"/>
      <c r="O141" s="3"/>
      <c r="Q141" s="3"/>
      <c r="R141" s="3"/>
      <c r="S141" s="3"/>
      <c r="T141" s="3"/>
      <c r="U141" s="1"/>
      <c r="V141" s="3"/>
      <c r="W141" s="3"/>
      <c r="X141" s="3"/>
      <c r="Y141" s="3"/>
      <c r="Z141" s="3"/>
      <c r="AA141" s="3"/>
      <c r="AB141" s="3"/>
      <c r="AC141" s="3"/>
      <c r="AD141" s="3"/>
      <c r="AE141" s="3"/>
      <c r="AF141" s="3"/>
      <c r="AG141" s="3"/>
      <c r="AH141" s="3"/>
      <c r="AI141" s="3"/>
      <c r="AJ141" s="3"/>
    </row>
    <row r="142" spans="1:36">
      <c r="A142" s="3"/>
      <c r="B142" s="3"/>
      <c r="C142" s="3"/>
      <c r="D142" s="1"/>
      <c r="E142" s="1"/>
      <c r="F142" s="3"/>
      <c r="G142" s="3"/>
      <c r="H142" s="3"/>
      <c r="I142" s="3"/>
      <c r="J142" s="3"/>
      <c r="K142" s="3"/>
      <c r="L142" s="3"/>
      <c r="M142" s="3"/>
      <c r="N142" s="3"/>
      <c r="O142" s="3"/>
      <c r="Q142" s="3"/>
      <c r="R142" s="3"/>
      <c r="S142" s="3"/>
      <c r="T142" s="3"/>
      <c r="U142" s="1"/>
      <c r="V142" s="3"/>
      <c r="W142" s="3"/>
      <c r="X142" s="3"/>
      <c r="Y142" s="3"/>
      <c r="Z142" s="3"/>
      <c r="AA142" s="3"/>
      <c r="AB142" s="3"/>
      <c r="AC142" s="3"/>
      <c r="AD142" s="3"/>
      <c r="AE142" s="3"/>
      <c r="AF142" s="3"/>
      <c r="AG142" s="3"/>
      <c r="AH142" s="3"/>
      <c r="AI142" s="3"/>
      <c r="AJ142" s="3"/>
    </row>
    <row r="143" spans="1:36">
      <c r="A143" s="3"/>
      <c r="B143" s="3"/>
      <c r="C143" s="3"/>
      <c r="D143" s="1"/>
      <c r="E143" s="1"/>
      <c r="F143" s="3"/>
      <c r="G143" s="3"/>
      <c r="H143" s="3"/>
      <c r="I143" s="3"/>
      <c r="J143" s="3"/>
      <c r="K143" s="3"/>
      <c r="L143" s="3"/>
      <c r="M143" s="3"/>
      <c r="N143" s="3"/>
      <c r="O143" s="3"/>
      <c r="Q143" s="3"/>
      <c r="R143" s="3"/>
      <c r="S143" s="3"/>
      <c r="T143" s="3"/>
      <c r="U143" s="1"/>
      <c r="V143" s="3"/>
      <c r="W143" s="3"/>
      <c r="X143" s="3"/>
      <c r="Y143" s="3"/>
      <c r="Z143" s="3"/>
      <c r="AA143" s="3"/>
      <c r="AB143" s="3"/>
      <c r="AC143" s="3"/>
      <c r="AD143" s="3"/>
      <c r="AE143" s="3"/>
      <c r="AF143" s="3"/>
      <c r="AG143" s="3"/>
      <c r="AH143" s="3"/>
      <c r="AI143" s="3"/>
      <c r="AJ143" s="3"/>
    </row>
    <row r="144" spans="1:36">
      <c r="A144" s="3"/>
      <c r="B144" s="3"/>
      <c r="C144" s="3"/>
      <c r="D144" s="1"/>
      <c r="E144" s="1"/>
      <c r="F144" s="3"/>
      <c r="G144" s="3"/>
      <c r="H144" s="3"/>
      <c r="I144" s="3"/>
      <c r="J144" s="3"/>
      <c r="K144" s="3"/>
      <c r="L144" s="3"/>
      <c r="M144" s="3"/>
      <c r="N144" s="3"/>
      <c r="O144" s="3"/>
      <c r="Q144" s="3"/>
      <c r="R144" s="3"/>
      <c r="S144" s="3"/>
      <c r="T144" s="3"/>
      <c r="U144" s="1"/>
      <c r="V144" s="3"/>
      <c r="W144" s="3"/>
      <c r="X144" s="3"/>
      <c r="Y144" s="3"/>
      <c r="Z144" s="3"/>
      <c r="AA144" s="3"/>
      <c r="AB144" s="3"/>
      <c r="AC144" s="3"/>
      <c r="AD144" s="3"/>
      <c r="AE144" s="3"/>
      <c r="AF144" s="3"/>
      <c r="AG144" s="3"/>
      <c r="AH144" s="3"/>
      <c r="AI144" s="3"/>
      <c r="AJ144" s="3"/>
    </row>
    <row r="145" spans="1:36">
      <c r="A145" s="3"/>
      <c r="B145" s="3"/>
      <c r="C145" s="3"/>
      <c r="D145" s="1"/>
      <c r="E145" s="1"/>
      <c r="F145" s="3"/>
      <c r="G145" s="3"/>
      <c r="H145" s="3"/>
      <c r="I145" s="3"/>
      <c r="J145" s="3"/>
      <c r="K145" s="3"/>
      <c r="L145" s="3"/>
      <c r="M145" s="3"/>
      <c r="N145" s="3"/>
      <c r="O145" s="3"/>
      <c r="Q145" s="3"/>
      <c r="R145" s="3"/>
      <c r="S145" s="3"/>
      <c r="T145" s="3"/>
      <c r="U145" s="1"/>
      <c r="V145" s="3"/>
      <c r="W145" s="3"/>
      <c r="X145" s="3"/>
      <c r="Y145" s="3"/>
      <c r="Z145" s="3"/>
      <c r="AA145" s="3"/>
      <c r="AB145" s="3"/>
      <c r="AC145" s="3"/>
      <c r="AD145" s="3"/>
      <c r="AE145" s="3"/>
      <c r="AF145" s="3"/>
      <c r="AG145" s="3"/>
      <c r="AH145" s="3"/>
      <c r="AI145" s="3"/>
      <c r="AJ145" s="3"/>
    </row>
    <row r="146" spans="1:36">
      <c r="A146" s="3"/>
      <c r="B146" s="3"/>
      <c r="C146" s="3"/>
      <c r="D146" s="1"/>
      <c r="E146" s="1"/>
      <c r="F146" s="3"/>
      <c r="G146" s="3"/>
      <c r="H146" s="3"/>
      <c r="I146" s="3"/>
      <c r="J146" s="3"/>
      <c r="K146" s="3"/>
      <c r="L146" s="3"/>
      <c r="M146" s="3"/>
      <c r="N146" s="3"/>
      <c r="O146" s="3"/>
      <c r="Q146" s="3"/>
      <c r="R146" s="3"/>
      <c r="S146" s="3"/>
      <c r="T146" s="3"/>
      <c r="U146" s="1"/>
      <c r="V146" s="3"/>
      <c r="W146" s="3"/>
      <c r="X146" s="3"/>
      <c r="Y146" s="3"/>
      <c r="Z146" s="3"/>
      <c r="AA146" s="3"/>
      <c r="AB146" s="3"/>
      <c r="AC146" s="3"/>
      <c r="AD146" s="3"/>
      <c r="AE146" s="3"/>
      <c r="AF146" s="3"/>
      <c r="AG146" s="3"/>
      <c r="AH146" s="3"/>
      <c r="AI146" s="3"/>
      <c r="AJ146" s="3"/>
    </row>
    <row r="147" spans="1:36">
      <c r="A147" s="3"/>
      <c r="B147" s="3"/>
      <c r="C147" s="3"/>
      <c r="D147" s="1"/>
      <c r="E147" s="1"/>
      <c r="F147" s="3"/>
      <c r="G147" s="3"/>
      <c r="H147" s="3"/>
      <c r="I147" s="3"/>
      <c r="J147" s="3"/>
      <c r="K147" s="3"/>
      <c r="L147" s="3"/>
      <c r="M147" s="3"/>
      <c r="N147" s="3"/>
      <c r="O147" s="3"/>
      <c r="Q147" s="3"/>
      <c r="R147" s="3"/>
      <c r="S147" s="3"/>
      <c r="T147" s="3"/>
      <c r="U147" s="1"/>
      <c r="V147" s="3"/>
      <c r="W147" s="3"/>
      <c r="X147" s="3"/>
      <c r="Y147" s="3"/>
      <c r="Z147" s="3"/>
      <c r="AA147" s="3"/>
      <c r="AB147" s="3"/>
      <c r="AC147" s="3"/>
      <c r="AD147" s="3"/>
      <c r="AE147" s="3"/>
      <c r="AF147" s="3"/>
      <c r="AG147" s="3"/>
      <c r="AH147" s="3"/>
      <c r="AI147" s="3"/>
      <c r="AJ147" s="3"/>
    </row>
    <row r="148" spans="1:36">
      <c r="A148" s="3"/>
      <c r="B148" s="3"/>
      <c r="C148" s="3"/>
      <c r="D148" s="1"/>
      <c r="E148" s="1"/>
      <c r="F148" s="3"/>
      <c r="G148" s="3"/>
      <c r="H148" s="3"/>
      <c r="I148" s="3"/>
      <c r="J148" s="3"/>
      <c r="K148" s="3"/>
      <c r="L148" s="3"/>
      <c r="M148" s="3"/>
      <c r="N148" s="3"/>
      <c r="O148" s="3"/>
      <c r="Q148" s="3"/>
      <c r="R148" s="3"/>
      <c r="S148" s="3"/>
      <c r="T148" s="3"/>
      <c r="U148" s="1"/>
      <c r="V148" s="3"/>
      <c r="W148" s="3"/>
      <c r="X148" s="3"/>
      <c r="Y148" s="3"/>
      <c r="Z148" s="3"/>
      <c r="AA148" s="3"/>
      <c r="AB148" s="3"/>
      <c r="AC148" s="3"/>
      <c r="AD148" s="3"/>
      <c r="AE148" s="3"/>
      <c r="AF148" s="3"/>
      <c r="AG148" s="3"/>
      <c r="AH148" s="3"/>
      <c r="AI148" s="3"/>
      <c r="AJ148" s="3"/>
    </row>
    <row r="149" spans="1:36">
      <c r="A149" s="3"/>
      <c r="B149" s="3"/>
      <c r="C149" s="3"/>
      <c r="D149" s="1"/>
      <c r="E149" s="1"/>
      <c r="F149" s="3"/>
      <c r="G149" s="3"/>
      <c r="H149" s="3"/>
      <c r="I149" s="3"/>
      <c r="J149" s="3"/>
      <c r="K149" s="3"/>
      <c r="L149" s="3"/>
      <c r="M149" s="3"/>
      <c r="N149" s="3"/>
      <c r="O149" s="3"/>
      <c r="Q149" s="3"/>
      <c r="R149" s="3"/>
      <c r="S149" s="3"/>
      <c r="T149" s="3"/>
      <c r="U149" s="1"/>
      <c r="V149" s="3"/>
      <c r="W149" s="3"/>
      <c r="X149" s="3"/>
      <c r="Y149" s="3"/>
      <c r="Z149" s="3"/>
      <c r="AA149" s="3"/>
      <c r="AB149" s="3"/>
      <c r="AC149" s="3"/>
      <c r="AD149" s="3"/>
      <c r="AE149" s="3"/>
      <c r="AF149" s="3"/>
      <c r="AG149" s="3"/>
      <c r="AH149" s="3"/>
      <c r="AI149" s="3"/>
      <c r="AJ149" s="3"/>
    </row>
    <row r="150" spans="1:36">
      <c r="A150" s="3"/>
      <c r="B150" s="3"/>
      <c r="C150" s="3"/>
      <c r="D150" s="1"/>
      <c r="E150" s="1"/>
      <c r="F150" s="3"/>
      <c r="G150" s="3"/>
      <c r="H150" s="3"/>
      <c r="I150" s="3"/>
      <c r="J150" s="3"/>
      <c r="K150" s="3"/>
      <c r="L150" s="3"/>
      <c r="M150" s="3"/>
      <c r="N150" s="3"/>
      <c r="O150" s="3"/>
      <c r="Q150" s="3"/>
      <c r="R150" s="3"/>
      <c r="S150" s="3"/>
      <c r="T150" s="3"/>
      <c r="U150" s="1"/>
      <c r="V150" s="3"/>
      <c r="W150" s="3"/>
      <c r="X150" s="3"/>
      <c r="Y150" s="3"/>
      <c r="Z150" s="3"/>
      <c r="AA150" s="3"/>
      <c r="AB150" s="3"/>
      <c r="AC150" s="3"/>
      <c r="AD150" s="3"/>
      <c r="AE150" s="3"/>
      <c r="AF150" s="3"/>
      <c r="AG150" s="3"/>
      <c r="AH150" s="3"/>
      <c r="AI150" s="3"/>
      <c r="AJ150" s="3"/>
    </row>
    <row r="151" spans="1:36">
      <c r="A151" s="3"/>
      <c r="B151" s="3"/>
      <c r="C151" s="3"/>
      <c r="D151" s="1"/>
      <c r="E151" s="1"/>
      <c r="F151" s="3"/>
      <c r="G151" s="3"/>
      <c r="H151" s="3"/>
      <c r="I151" s="3"/>
      <c r="J151" s="3"/>
      <c r="K151" s="3"/>
      <c r="L151" s="3"/>
      <c r="M151" s="3"/>
      <c r="N151" s="3"/>
      <c r="O151" s="3"/>
      <c r="Q151" s="3"/>
      <c r="R151" s="3"/>
      <c r="S151" s="3"/>
      <c r="T151" s="3"/>
      <c r="U151" s="1"/>
      <c r="V151" s="3"/>
      <c r="W151" s="3"/>
      <c r="X151" s="3"/>
      <c r="Y151" s="3"/>
      <c r="Z151" s="3"/>
      <c r="AA151" s="3"/>
      <c r="AB151" s="3"/>
      <c r="AC151" s="3"/>
      <c r="AD151" s="3"/>
      <c r="AE151" s="3"/>
      <c r="AF151" s="3"/>
      <c r="AG151" s="3"/>
      <c r="AH151" s="3"/>
      <c r="AI151" s="3"/>
      <c r="AJ151" s="3"/>
    </row>
    <row r="152" spans="1:36">
      <c r="A152" s="3"/>
      <c r="B152" s="3"/>
      <c r="C152" s="3"/>
      <c r="D152" s="1"/>
      <c r="E152" s="1"/>
      <c r="F152" s="3"/>
      <c r="G152" s="3"/>
      <c r="H152" s="3"/>
      <c r="I152" s="3"/>
      <c r="J152" s="3"/>
      <c r="K152" s="3"/>
      <c r="L152" s="3"/>
      <c r="M152" s="3"/>
      <c r="N152" s="3"/>
      <c r="O152" s="3"/>
      <c r="Q152" s="3"/>
      <c r="R152" s="3"/>
      <c r="S152" s="3"/>
      <c r="T152" s="3"/>
      <c r="U152" s="1"/>
      <c r="V152" s="3"/>
      <c r="W152" s="3"/>
      <c r="X152" s="3"/>
      <c r="Y152" s="3"/>
      <c r="Z152" s="3"/>
      <c r="AA152" s="3"/>
      <c r="AB152" s="3"/>
      <c r="AC152" s="3"/>
      <c r="AD152" s="3"/>
      <c r="AE152" s="3"/>
      <c r="AF152" s="3"/>
      <c r="AG152" s="3"/>
      <c r="AH152" s="3"/>
      <c r="AI152" s="3"/>
      <c r="AJ152" s="3"/>
    </row>
    <row r="153" spans="1:36">
      <c r="A153" s="3"/>
      <c r="B153" s="3"/>
      <c r="C153" s="3"/>
      <c r="D153" s="1"/>
      <c r="E153" s="1"/>
      <c r="F153" s="3"/>
      <c r="G153" s="3"/>
      <c r="H153" s="3"/>
      <c r="I153" s="3"/>
      <c r="J153" s="3"/>
      <c r="K153" s="3"/>
      <c r="L153" s="3"/>
      <c r="M153" s="3"/>
      <c r="N153" s="3"/>
      <c r="O153" s="3"/>
      <c r="Q153" s="3"/>
      <c r="R153" s="3"/>
      <c r="S153" s="3"/>
      <c r="T153" s="3"/>
      <c r="U153" s="1"/>
      <c r="V153" s="3"/>
      <c r="W153" s="3"/>
      <c r="X153" s="3"/>
      <c r="Y153" s="3"/>
      <c r="Z153" s="3"/>
      <c r="AA153" s="3"/>
      <c r="AB153" s="3"/>
      <c r="AC153" s="3"/>
      <c r="AD153" s="3"/>
      <c r="AE153" s="3"/>
      <c r="AF153" s="3"/>
      <c r="AG153" s="3"/>
      <c r="AH153" s="3"/>
      <c r="AI153" s="3"/>
      <c r="AJ153" s="3"/>
    </row>
    <row r="154" spans="1:36">
      <c r="A154" s="3"/>
      <c r="B154" s="3"/>
      <c r="C154" s="3"/>
      <c r="D154" s="1"/>
      <c r="E154" s="1"/>
      <c r="F154" s="3"/>
      <c r="G154" s="3"/>
      <c r="H154" s="3"/>
      <c r="I154" s="3"/>
      <c r="J154" s="3"/>
      <c r="K154" s="3"/>
      <c r="L154" s="3"/>
      <c r="M154" s="3"/>
      <c r="N154" s="3"/>
      <c r="O154" s="3"/>
      <c r="Q154" s="3"/>
      <c r="R154" s="3"/>
      <c r="S154" s="3"/>
      <c r="T154" s="3"/>
      <c r="U154" s="1"/>
      <c r="V154" s="3"/>
      <c r="W154" s="3"/>
      <c r="X154" s="3"/>
      <c r="Y154" s="3"/>
      <c r="Z154" s="3"/>
      <c r="AA154" s="3"/>
      <c r="AB154" s="3"/>
      <c r="AC154" s="3"/>
      <c r="AD154" s="3"/>
      <c r="AE154" s="3"/>
      <c r="AF154" s="3"/>
      <c r="AG154" s="3"/>
      <c r="AH154" s="3"/>
      <c r="AI154" s="3"/>
      <c r="AJ154" s="3"/>
    </row>
    <row r="155" spans="1:36">
      <c r="A155" s="3"/>
      <c r="B155" s="3"/>
      <c r="C155" s="3"/>
      <c r="D155" s="1"/>
      <c r="E155" s="1"/>
      <c r="F155" s="3"/>
      <c r="G155" s="3"/>
      <c r="H155" s="3"/>
      <c r="I155" s="3"/>
      <c r="J155" s="3"/>
      <c r="K155" s="3"/>
      <c r="L155" s="3"/>
      <c r="M155" s="3"/>
      <c r="N155" s="3"/>
      <c r="O155" s="3"/>
      <c r="Q155" s="3"/>
      <c r="R155" s="3"/>
      <c r="S155" s="3"/>
      <c r="T155" s="3"/>
      <c r="U155" s="1"/>
      <c r="V155" s="3"/>
      <c r="W155" s="3"/>
      <c r="X155" s="3"/>
      <c r="Y155" s="3"/>
      <c r="Z155" s="3"/>
      <c r="AA155" s="3"/>
      <c r="AB155" s="3"/>
      <c r="AC155" s="3"/>
      <c r="AD155" s="3"/>
      <c r="AE155" s="3"/>
      <c r="AF155" s="3"/>
      <c r="AG155" s="3"/>
      <c r="AH155" s="3"/>
      <c r="AI155" s="3"/>
      <c r="AJ155" s="3"/>
    </row>
    <row r="156" spans="1:36">
      <c r="A156" s="3"/>
      <c r="B156" s="3"/>
      <c r="C156" s="3"/>
      <c r="D156" s="1"/>
      <c r="E156" s="1"/>
      <c r="F156" s="3"/>
      <c r="G156" s="3"/>
      <c r="H156" s="3"/>
      <c r="I156" s="3"/>
      <c r="J156" s="3"/>
      <c r="K156" s="3"/>
      <c r="L156" s="3"/>
      <c r="M156" s="3"/>
      <c r="N156" s="3"/>
      <c r="O156" s="3"/>
      <c r="Q156" s="3"/>
      <c r="R156" s="3"/>
      <c r="S156" s="3"/>
      <c r="T156" s="3"/>
      <c r="U156" s="1"/>
      <c r="V156" s="3"/>
      <c r="W156" s="3"/>
      <c r="X156" s="3"/>
      <c r="Y156" s="3"/>
      <c r="Z156" s="3"/>
      <c r="AA156" s="3"/>
      <c r="AB156" s="3"/>
      <c r="AC156" s="3"/>
      <c r="AD156" s="3"/>
      <c r="AE156" s="3"/>
      <c r="AF156" s="3"/>
      <c r="AG156" s="3"/>
      <c r="AH156" s="3"/>
      <c r="AI156" s="3"/>
      <c r="AJ156" s="3"/>
    </row>
    <row r="157" spans="1:36">
      <c r="A157" s="3"/>
      <c r="B157" s="3"/>
      <c r="C157" s="3"/>
      <c r="D157" s="1"/>
      <c r="E157" s="1"/>
      <c r="F157" s="3"/>
      <c r="G157" s="3"/>
      <c r="H157" s="3"/>
      <c r="I157" s="3"/>
      <c r="J157" s="3"/>
      <c r="K157" s="3"/>
      <c r="L157" s="3"/>
      <c r="M157" s="3"/>
      <c r="N157" s="3"/>
      <c r="O157" s="3"/>
      <c r="Q157" s="3"/>
      <c r="R157" s="3"/>
      <c r="S157" s="3"/>
      <c r="T157" s="3"/>
      <c r="U157" s="1"/>
      <c r="V157" s="3"/>
      <c r="W157" s="3"/>
      <c r="X157" s="3"/>
      <c r="Y157" s="3"/>
      <c r="Z157" s="3"/>
      <c r="AA157" s="3"/>
      <c r="AB157" s="3"/>
      <c r="AC157" s="3"/>
      <c r="AD157" s="3"/>
      <c r="AE157" s="3"/>
      <c r="AF157" s="3"/>
      <c r="AG157" s="3"/>
      <c r="AH157" s="3"/>
      <c r="AI157" s="3"/>
      <c r="AJ157" s="3"/>
    </row>
    <row r="158" spans="1:36">
      <c r="A158" s="3"/>
      <c r="B158" s="3"/>
      <c r="C158" s="3"/>
      <c r="D158" s="1"/>
      <c r="E158" s="1"/>
      <c r="F158" s="3"/>
      <c r="G158" s="3"/>
      <c r="H158" s="3"/>
      <c r="I158" s="3"/>
      <c r="J158" s="3"/>
      <c r="K158" s="3"/>
      <c r="L158" s="3"/>
      <c r="M158" s="3"/>
      <c r="N158" s="3"/>
      <c r="O158" s="3"/>
      <c r="Q158" s="3"/>
      <c r="R158" s="3"/>
      <c r="S158" s="3"/>
      <c r="T158" s="3"/>
      <c r="U158" s="1"/>
      <c r="V158" s="3"/>
      <c r="W158" s="3"/>
      <c r="X158" s="3"/>
      <c r="Y158" s="3"/>
      <c r="Z158" s="3"/>
      <c r="AA158" s="3"/>
      <c r="AB158" s="3"/>
      <c r="AC158" s="3"/>
      <c r="AD158" s="3"/>
      <c r="AE158" s="3"/>
      <c r="AF158" s="3"/>
      <c r="AG158" s="3"/>
      <c r="AH158" s="3"/>
      <c r="AI158" s="3"/>
      <c r="AJ158" s="3"/>
    </row>
    <row r="159" spans="1:36">
      <c r="A159" s="3"/>
      <c r="B159" s="3"/>
      <c r="C159" s="3"/>
      <c r="D159" s="1"/>
      <c r="E159" s="1"/>
      <c r="F159" s="3"/>
      <c r="G159" s="3"/>
      <c r="H159" s="3"/>
      <c r="I159" s="3"/>
      <c r="J159" s="3"/>
      <c r="K159" s="3"/>
      <c r="L159" s="3"/>
      <c r="M159" s="3"/>
      <c r="N159" s="3"/>
      <c r="O159" s="3"/>
      <c r="Q159" s="3"/>
      <c r="R159" s="3"/>
      <c r="S159" s="3"/>
      <c r="T159" s="3"/>
      <c r="U159" s="1"/>
      <c r="V159" s="3"/>
      <c r="W159" s="3"/>
      <c r="X159" s="3"/>
      <c r="Y159" s="3"/>
      <c r="Z159" s="3"/>
      <c r="AA159" s="3"/>
      <c r="AB159" s="3"/>
      <c r="AC159" s="3"/>
      <c r="AD159" s="3"/>
      <c r="AE159" s="3"/>
      <c r="AF159" s="3"/>
      <c r="AG159" s="3"/>
      <c r="AH159" s="3"/>
      <c r="AI159" s="3"/>
      <c r="AJ159" s="3"/>
    </row>
    <row r="160" spans="1:36">
      <c r="A160" s="3"/>
      <c r="B160" s="3"/>
      <c r="C160" s="3"/>
      <c r="D160" s="1"/>
      <c r="E160" s="1"/>
      <c r="F160" s="3"/>
      <c r="G160" s="3"/>
      <c r="H160" s="3"/>
      <c r="I160" s="3"/>
      <c r="J160" s="3"/>
      <c r="K160" s="3"/>
      <c r="L160" s="3"/>
      <c r="M160" s="3"/>
      <c r="N160" s="3"/>
      <c r="O160" s="3"/>
      <c r="Q160" s="3"/>
      <c r="R160" s="3"/>
      <c r="S160" s="3"/>
      <c r="T160" s="3"/>
      <c r="U160" s="1"/>
      <c r="V160" s="3"/>
      <c r="W160" s="3"/>
      <c r="X160" s="3"/>
      <c r="Y160" s="3"/>
      <c r="Z160" s="3"/>
      <c r="AA160" s="3"/>
      <c r="AB160" s="3"/>
      <c r="AC160" s="3"/>
      <c r="AD160" s="3"/>
      <c r="AE160" s="3"/>
      <c r="AF160" s="3"/>
      <c r="AG160" s="3"/>
      <c r="AH160" s="3"/>
      <c r="AI160" s="3"/>
      <c r="AJ160" s="3"/>
    </row>
    <row r="161" spans="1:36">
      <c r="A161" s="3"/>
      <c r="B161" s="3"/>
      <c r="C161" s="3"/>
      <c r="D161" s="1"/>
      <c r="E161" s="1"/>
      <c r="F161" s="3"/>
      <c r="G161" s="3"/>
      <c r="H161" s="3"/>
      <c r="I161" s="3"/>
      <c r="J161" s="3"/>
      <c r="K161" s="3"/>
      <c r="L161" s="3"/>
      <c r="M161" s="3"/>
      <c r="N161" s="3"/>
      <c r="O161" s="3"/>
      <c r="Q161" s="3"/>
      <c r="R161" s="3"/>
      <c r="S161" s="3"/>
      <c r="T161" s="3"/>
      <c r="U161" s="1"/>
      <c r="V161" s="3"/>
      <c r="W161" s="3"/>
      <c r="X161" s="3"/>
      <c r="Y161" s="3"/>
      <c r="Z161" s="3"/>
      <c r="AA161" s="3"/>
      <c r="AB161" s="3"/>
      <c r="AC161" s="3"/>
      <c r="AD161" s="3"/>
      <c r="AE161" s="3"/>
      <c r="AF161" s="3"/>
      <c r="AG161" s="3"/>
      <c r="AH161" s="3"/>
      <c r="AI161" s="3"/>
      <c r="AJ161" s="3"/>
    </row>
    <row r="162" spans="1:36">
      <c r="A162" s="3"/>
      <c r="B162" s="3"/>
      <c r="C162" s="3"/>
      <c r="D162" s="1"/>
      <c r="E162" s="1"/>
      <c r="F162" s="3"/>
      <c r="G162" s="3"/>
      <c r="H162" s="3"/>
      <c r="I162" s="3"/>
      <c r="J162" s="3"/>
      <c r="K162" s="3"/>
      <c r="L162" s="3"/>
      <c r="M162" s="3"/>
      <c r="N162" s="3"/>
      <c r="O162" s="3"/>
      <c r="Q162" s="3"/>
      <c r="R162" s="3"/>
      <c r="S162" s="3"/>
      <c r="T162" s="3"/>
      <c r="U162" s="1"/>
      <c r="V162" s="3"/>
      <c r="W162" s="3"/>
      <c r="X162" s="3"/>
      <c r="Y162" s="3"/>
      <c r="Z162" s="3"/>
      <c r="AA162" s="3"/>
      <c r="AB162" s="3"/>
      <c r="AC162" s="3"/>
      <c r="AD162" s="3"/>
      <c r="AE162" s="3"/>
      <c r="AF162" s="3"/>
      <c r="AG162" s="3"/>
      <c r="AH162" s="3"/>
      <c r="AI162" s="3"/>
      <c r="AJ162" s="3"/>
    </row>
    <row r="163" spans="1:36">
      <c r="A163" s="3"/>
      <c r="B163" s="3"/>
      <c r="C163" s="3"/>
      <c r="D163" s="1"/>
      <c r="E163" s="1"/>
      <c r="F163" s="3"/>
      <c r="G163" s="3"/>
      <c r="H163" s="3"/>
      <c r="I163" s="3"/>
      <c r="J163" s="3"/>
      <c r="K163" s="3"/>
      <c r="L163" s="3"/>
      <c r="M163" s="3"/>
      <c r="N163" s="3"/>
      <c r="O163" s="3"/>
      <c r="Q163" s="3"/>
      <c r="R163" s="3"/>
      <c r="S163" s="3"/>
      <c r="T163" s="3"/>
      <c r="U163" s="1"/>
      <c r="V163" s="3"/>
      <c r="W163" s="3"/>
      <c r="X163" s="3"/>
      <c r="Y163" s="3"/>
      <c r="Z163" s="3"/>
      <c r="AA163" s="3"/>
      <c r="AB163" s="3"/>
      <c r="AC163" s="3"/>
      <c r="AD163" s="3"/>
      <c r="AE163" s="3"/>
      <c r="AF163" s="3"/>
      <c r="AG163" s="3"/>
      <c r="AH163" s="3"/>
      <c r="AI163" s="3"/>
      <c r="AJ163" s="3"/>
    </row>
    <row r="164" spans="1:36">
      <c r="A164" s="3"/>
      <c r="B164" s="3"/>
      <c r="C164" s="3"/>
      <c r="D164" s="1"/>
      <c r="E164" s="1"/>
      <c r="F164" s="3"/>
      <c r="G164" s="3"/>
      <c r="H164" s="3"/>
      <c r="I164" s="3"/>
      <c r="J164" s="3"/>
      <c r="K164" s="3"/>
      <c r="L164" s="3"/>
      <c r="M164" s="3"/>
      <c r="N164" s="3"/>
      <c r="O164" s="3"/>
      <c r="Q164" s="3"/>
      <c r="R164" s="3"/>
      <c r="S164" s="3"/>
      <c r="T164" s="3"/>
      <c r="U164" s="1"/>
      <c r="V164" s="3"/>
      <c r="W164" s="3"/>
      <c r="X164" s="3"/>
      <c r="Y164" s="3"/>
      <c r="Z164" s="3"/>
      <c r="AA164" s="3"/>
      <c r="AB164" s="3"/>
      <c r="AC164" s="3"/>
      <c r="AD164" s="3"/>
      <c r="AE164" s="3"/>
      <c r="AF164" s="3"/>
      <c r="AG164" s="3"/>
      <c r="AH164" s="3"/>
      <c r="AI164" s="3"/>
      <c r="AJ164" s="3"/>
    </row>
    <row r="165" spans="1:36">
      <c r="A165" s="3"/>
      <c r="B165" s="3"/>
      <c r="C165" s="3"/>
      <c r="D165" s="1"/>
      <c r="E165" s="1"/>
      <c r="F165" s="3"/>
      <c r="G165" s="3"/>
      <c r="H165" s="3"/>
      <c r="I165" s="3"/>
      <c r="J165" s="3"/>
      <c r="K165" s="3"/>
      <c r="L165" s="3"/>
      <c r="M165" s="3"/>
      <c r="N165" s="3"/>
      <c r="O165" s="3"/>
      <c r="Q165" s="3"/>
      <c r="R165" s="3"/>
      <c r="S165" s="3"/>
      <c r="T165" s="3"/>
      <c r="U165" s="1"/>
      <c r="V165" s="3"/>
      <c r="W165" s="3"/>
      <c r="X165" s="3"/>
      <c r="Y165" s="3"/>
      <c r="Z165" s="3"/>
      <c r="AA165" s="3"/>
      <c r="AB165" s="3"/>
      <c r="AC165" s="3"/>
      <c r="AD165" s="3"/>
      <c r="AE165" s="3"/>
      <c r="AF165" s="3"/>
      <c r="AG165" s="3"/>
      <c r="AH165" s="3"/>
      <c r="AI165" s="3"/>
      <c r="AJ165" s="3"/>
    </row>
    <row r="166" spans="1:36">
      <c r="A166" s="3"/>
      <c r="B166" s="3"/>
      <c r="C166" s="3"/>
      <c r="D166" s="1"/>
      <c r="E166" s="1"/>
      <c r="F166" s="3"/>
      <c r="G166" s="3"/>
      <c r="H166" s="3"/>
      <c r="I166" s="3"/>
      <c r="J166" s="3"/>
      <c r="K166" s="3"/>
      <c r="L166" s="3"/>
      <c r="M166" s="3"/>
      <c r="N166" s="3"/>
      <c r="O166" s="3"/>
      <c r="Q166" s="3"/>
      <c r="R166" s="3"/>
      <c r="S166" s="3"/>
      <c r="T166" s="3"/>
      <c r="U166" s="1"/>
      <c r="V166" s="3"/>
      <c r="W166" s="3"/>
      <c r="X166" s="3"/>
      <c r="Y166" s="3"/>
      <c r="Z166" s="3"/>
      <c r="AA166" s="3"/>
      <c r="AB166" s="3"/>
      <c r="AC166" s="3"/>
      <c r="AD166" s="3"/>
      <c r="AE166" s="3"/>
      <c r="AF166" s="3"/>
      <c r="AG166" s="3"/>
      <c r="AH166" s="3"/>
      <c r="AI166" s="3"/>
      <c r="AJ166" s="3"/>
    </row>
    <row r="167" spans="1:36">
      <c r="A167" s="3"/>
      <c r="B167" s="3"/>
      <c r="C167" s="3"/>
      <c r="D167" s="1"/>
      <c r="E167" s="1"/>
      <c r="F167" s="3"/>
      <c r="G167" s="3"/>
      <c r="H167" s="3"/>
      <c r="I167" s="3"/>
      <c r="J167" s="3"/>
      <c r="K167" s="3"/>
      <c r="L167" s="3"/>
      <c r="M167" s="3"/>
      <c r="N167" s="3"/>
      <c r="O167" s="3"/>
      <c r="Q167" s="3"/>
      <c r="R167" s="3"/>
      <c r="S167" s="3"/>
      <c r="T167" s="3"/>
      <c r="U167" s="1"/>
      <c r="V167" s="3"/>
      <c r="W167" s="3"/>
      <c r="X167" s="3"/>
      <c r="Y167" s="3"/>
      <c r="Z167" s="3"/>
      <c r="AA167" s="3"/>
      <c r="AB167" s="3"/>
      <c r="AC167" s="3"/>
      <c r="AD167" s="3"/>
      <c r="AE167" s="3"/>
      <c r="AF167" s="3"/>
      <c r="AG167" s="3"/>
      <c r="AH167" s="3"/>
      <c r="AI167" s="3"/>
      <c r="AJ167" s="3"/>
    </row>
    <row r="168" spans="1:36">
      <c r="A168" s="3"/>
      <c r="B168" s="3"/>
      <c r="C168" s="3"/>
      <c r="D168" s="1"/>
      <c r="E168" s="1"/>
      <c r="F168" s="3"/>
      <c r="G168" s="3"/>
      <c r="H168" s="3"/>
      <c r="I168" s="3"/>
      <c r="J168" s="3"/>
      <c r="K168" s="3"/>
      <c r="L168" s="3"/>
      <c r="M168" s="3"/>
      <c r="N168" s="3"/>
      <c r="O168" s="3"/>
      <c r="Q168" s="3"/>
      <c r="R168" s="3"/>
      <c r="S168" s="3"/>
      <c r="T168" s="3"/>
      <c r="U168" s="1"/>
      <c r="V168" s="3"/>
      <c r="W168" s="3"/>
      <c r="X168" s="3"/>
      <c r="Y168" s="3"/>
      <c r="Z168" s="3"/>
      <c r="AA168" s="3"/>
      <c r="AB168" s="3"/>
      <c r="AC168" s="3"/>
      <c r="AD168" s="3"/>
      <c r="AE168" s="3"/>
      <c r="AF168" s="3"/>
      <c r="AG168" s="3"/>
      <c r="AH168" s="3"/>
      <c r="AI168" s="3"/>
      <c r="AJ168" s="3"/>
    </row>
    <row r="169" spans="1:36">
      <c r="A169" s="3"/>
      <c r="B169" s="3"/>
      <c r="C169" s="3"/>
      <c r="D169" s="1"/>
      <c r="E169" s="1"/>
      <c r="F169" s="3"/>
      <c r="G169" s="3"/>
      <c r="H169" s="3"/>
      <c r="I169" s="3"/>
      <c r="J169" s="3"/>
      <c r="K169" s="3"/>
      <c r="L169" s="3"/>
      <c r="M169" s="3"/>
      <c r="N169" s="3"/>
      <c r="O169" s="3"/>
      <c r="Q169" s="3"/>
      <c r="R169" s="3"/>
      <c r="S169" s="3"/>
      <c r="T169" s="3"/>
      <c r="U169" s="1"/>
      <c r="V169" s="3"/>
      <c r="W169" s="3"/>
      <c r="X169" s="3"/>
      <c r="Y169" s="3"/>
      <c r="Z169" s="3"/>
      <c r="AA169" s="3"/>
      <c r="AB169" s="3"/>
      <c r="AC169" s="3"/>
      <c r="AD169" s="3"/>
      <c r="AE169" s="3"/>
      <c r="AF169" s="3"/>
      <c r="AG169" s="3"/>
      <c r="AH169" s="3"/>
      <c r="AI169" s="3"/>
      <c r="AJ169" s="3"/>
    </row>
    <row r="170" spans="1:36">
      <c r="A170" s="3"/>
      <c r="B170" s="3"/>
      <c r="C170" s="3"/>
      <c r="D170" s="1"/>
      <c r="E170" s="1"/>
      <c r="F170" s="3"/>
      <c r="G170" s="3"/>
      <c r="H170" s="3"/>
      <c r="I170" s="3"/>
      <c r="J170" s="3"/>
      <c r="K170" s="3"/>
      <c r="L170" s="3"/>
      <c r="M170" s="3"/>
      <c r="N170" s="3"/>
      <c r="O170" s="3"/>
      <c r="Q170" s="3"/>
      <c r="R170" s="3"/>
      <c r="S170" s="3"/>
      <c r="T170" s="3"/>
      <c r="U170" s="1"/>
      <c r="V170" s="3"/>
      <c r="W170" s="3"/>
      <c r="X170" s="3"/>
      <c r="Y170" s="3"/>
      <c r="Z170" s="3"/>
      <c r="AA170" s="3"/>
      <c r="AB170" s="3"/>
      <c r="AC170" s="3"/>
      <c r="AD170" s="3"/>
      <c r="AE170" s="3"/>
      <c r="AF170" s="3"/>
      <c r="AG170" s="3"/>
      <c r="AH170" s="3"/>
      <c r="AI170" s="3"/>
      <c r="AJ170" s="3"/>
    </row>
    <row r="171" spans="1:36">
      <c r="A171" s="3"/>
      <c r="B171" s="3"/>
      <c r="C171" s="3"/>
      <c r="D171" s="1"/>
      <c r="E171" s="1"/>
      <c r="F171" s="3"/>
      <c r="G171" s="3"/>
      <c r="H171" s="3"/>
      <c r="I171" s="3"/>
      <c r="J171" s="3"/>
      <c r="K171" s="3"/>
      <c r="L171" s="3"/>
      <c r="M171" s="3"/>
      <c r="N171" s="3"/>
      <c r="O171" s="3"/>
      <c r="Q171" s="3"/>
      <c r="R171" s="3"/>
      <c r="S171" s="3"/>
      <c r="T171" s="3"/>
      <c r="U171" s="1"/>
      <c r="V171" s="3"/>
      <c r="W171" s="3"/>
      <c r="X171" s="3"/>
      <c r="Y171" s="3"/>
      <c r="Z171" s="3"/>
      <c r="AA171" s="3"/>
      <c r="AB171" s="3"/>
      <c r="AC171" s="3"/>
      <c r="AD171" s="3"/>
      <c r="AE171" s="3"/>
      <c r="AF171" s="3"/>
      <c r="AG171" s="3"/>
      <c r="AH171" s="3"/>
      <c r="AI171" s="3"/>
      <c r="AJ171" s="3"/>
    </row>
    <row r="172" spans="1:36">
      <c r="A172" s="3"/>
      <c r="B172" s="3"/>
      <c r="C172" s="3"/>
      <c r="D172" s="1"/>
      <c r="E172" s="1"/>
      <c r="F172" s="3"/>
      <c r="G172" s="3"/>
      <c r="H172" s="3"/>
      <c r="I172" s="3"/>
      <c r="J172" s="3"/>
      <c r="K172" s="3"/>
      <c r="L172" s="3"/>
      <c r="M172" s="3"/>
      <c r="N172" s="3"/>
      <c r="O172" s="3"/>
      <c r="Q172" s="3"/>
      <c r="R172" s="3"/>
      <c r="S172" s="3"/>
      <c r="T172" s="3"/>
      <c r="U172" s="1"/>
      <c r="V172" s="3"/>
      <c r="W172" s="3"/>
      <c r="X172" s="3"/>
      <c r="Y172" s="3"/>
      <c r="Z172" s="3"/>
      <c r="AA172" s="3"/>
      <c r="AB172" s="3"/>
      <c r="AC172" s="3"/>
      <c r="AD172" s="3"/>
      <c r="AE172" s="3"/>
      <c r="AF172" s="3"/>
      <c r="AG172" s="3"/>
      <c r="AH172" s="3"/>
      <c r="AI172" s="3"/>
      <c r="AJ172" s="3"/>
    </row>
    <row r="173" spans="1:36">
      <c r="A173" s="3"/>
      <c r="B173" s="3"/>
      <c r="C173" s="3"/>
      <c r="D173" s="1"/>
      <c r="E173" s="1"/>
      <c r="F173" s="3"/>
      <c r="G173" s="3"/>
      <c r="H173" s="3"/>
      <c r="I173" s="3"/>
      <c r="J173" s="3"/>
      <c r="K173" s="3"/>
      <c r="L173" s="3"/>
      <c r="M173" s="3"/>
      <c r="N173" s="3"/>
      <c r="O173" s="3"/>
      <c r="Q173" s="3"/>
      <c r="R173" s="3"/>
      <c r="S173" s="3"/>
      <c r="T173" s="3"/>
      <c r="U173" s="1"/>
      <c r="V173" s="3"/>
      <c r="W173" s="3"/>
      <c r="X173" s="3"/>
      <c r="Y173" s="3"/>
      <c r="Z173" s="3"/>
      <c r="AA173" s="3"/>
      <c r="AB173" s="3"/>
      <c r="AC173" s="3"/>
      <c r="AD173" s="3"/>
      <c r="AE173" s="3"/>
      <c r="AF173" s="3"/>
      <c r="AG173" s="3"/>
      <c r="AH173" s="3"/>
      <c r="AI173" s="3"/>
      <c r="AJ173" s="3"/>
    </row>
    <row r="174" spans="1:36">
      <c r="A174" s="3"/>
      <c r="B174" s="3"/>
      <c r="C174" s="3"/>
      <c r="D174" s="1"/>
      <c r="E174" s="1"/>
      <c r="F174" s="3"/>
      <c r="G174" s="3"/>
      <c r="H174" s="3"/>
      <c r="I174" s="3"/>
      <c r="J174" s="3"/>
      <c r="K174" s="3"/>
      <c r="L174" s="3"/>
      <c r="M174" s="3"/>
      <c r="N174" s="3"/>
      <c r="O174" s="3"/>
      <c r="Q174" s="3"/>
      <c r="R174" s="3"/>
      <c r="S174" s="3"/>
      <c r="T174" s="3"/>
      <c r="U174" s="1"/>
      <c r="V174" s="3"/>
      <c r="W174" s="3"/>
      <c r="X174" s="3"/>
      <c r="Y174" s="3"/>
      <c r="Z174" s="3"/>
      <c r="AA174" s="3"/>
      <c r="AB174" s="3"/>
      <c r="AC174" s="3"/>
      <c r="AD174" s="3"/>
      <c r="AE174" s="3"/>
      <c r="AF174" s="3"/>
      <c r="AG174" s="3"/>
      <c r="AH174" s="3"/>
      <c r="AI174" s="3"/>
      <c r="AJ174" s="3"/>
    </row>
    <row r="175" spans="1:36">
      <c r="A175" s="3"/>
      <c r="B175" s="3"/>
      <c r="C175" s="3"/>
      <c r="D175" s="1"/>
      <c r="E175" s="1"/>
      <c r="F175" s="3"/>
      <c r="G175" s="3"/>
      <c r="H175" s="3"/>
      <c r="I175" s="3"/>
      <c r="J175" s="3"/>
      <c r="K175" s="3"/>
      <c r="L175" s="3"/>
      <c r="M175" s="3"/>
      <c r="N175" s="3"/>
      <c r="O175" s="3"/>
      <c r="Q175" s="3"/>
      <c r="R175" s="3"/>
      <c r="S175" s="3"/>
      <c r="T175" s="3"/>
      <c r="U175" s="1"/>
      <c r="V175" s="3"/>
      <c r="W175" s="3"/>
      <c r="X175" s="3"/>
      <c r="Y175" s="3"/>
      <c r="Z175" s="3"/>
      <c r="AA175" s="3"/>
      <c r="AB175" s="3"/>
      <c r="AC175" s="3"/>
      <c r="AD175" s="3"/>
      <c r="AE175" s="3"/>
      <c r="AF175" s="3"/>
      <c r="AG175" s="3"/>
      <c r="AH175" s="3"/>
      <c r="AI175" s="3"/>
      <c r="AJ175" s="3"/>
    </row>
    <row r="176" spans="1:36">
      <c r="A176" s="3"/>
      <c r="B176" s="3"/>
      <c r="C176" s="3"/>
      <c r="D176" s="1"/>
      <c r="E176" s="1"/>
      <c r="F176" s="3"/>
      <c r="G176" s="3"/>
      <c r="H176" s="3"/>
      <c r="I176" s="3"/>
      <c r="J176" s="3"/>
      <c r="K176" s="3"/>
      <c r="L176" s="3"/>
      <c r="M176" s="3"/>
      <c r="N176" s="3"/>
      <c r="O176" s="3"/>
      <c r="Q176" s="3"/>
      <c r="R176" s="3"/>
      <c r="S176" s="3"/>
      <c r="T176" s="3"/>
      <c r="U176" s="1"/>
      <c r="V176" s="3"/>
      <c r="W176" s="3"/>
      <c r="X176" s="3"/>
      <c r="Y176" s="3"/>
      <c r="Z176" s="3"/>
      <c r="AA176" s="3"/>
      <c r="AB176" s="3"/>
      <c r="AC176" s="3"/>
      <c r="AD176" s="3"/>
      <c r="AE176" s="3"/>
      <c r="AF176" s="3"/>
      <c r="AG176" s="3"/>
      <c r="AH176" s="3"/>
      <c r="AI176" s="3"/>
      <c r="AJ176" s="3"/>
    </row>
    <row r="177" spans="1:36">
      <c r="A177" s="3"/>
      <c r="B177" s="3"/>
      <c r="C177" s="3"/>
      <c r="D177" s="1"/>
      <c r="E177" s="1"/>
      <c r="F177" s="3"/>
      <c r="G177" s="3"/>
      <c r="H177" s="3"/>
      <c r="I177" s="3"/>
      <c r="J177" s="3"/>
      <c r="K177" s="3"/>
      <c r="L177" s="3"/>
      <c r="M177" s="3"/>
      <c r="N177" s="3"/>
      <c r="O177" s="3"/>
      <c r="Q177" s="3"/>
      <c r="R177" s="3"/>
      <c r="S177" s="3"/>
      <c r="T177" s="3"/>
      <c r="U177" s="1"/>
      <c r="V177" s="3"/>
      <c r="W177" s="3"/>
      <c r="X177" s="3"/>
      <c r="Y177" s="3"/>
      <c r="Z177" s="3"/>
      <c r="AA177" s="3"/>
      <c r="AB177" s="3"/>
      <c r="AC177" s="3"/>
      <c r="AD177" s="3"/>
      <c r="AE177" s="3"/>
      <c r="AF177" s="3"/>
      <c r="AG177" s="3"/>
      <c r="AH177" s="3"/>
      <c r="AI177" s="3"/>
      <c r="AJ177" s="3"/>
    </row>
    <row r="178" spans="1:36">
      <c r="A178" s="3"/>
      <c r="B178" s="3"/>
      <c r="C178" s="3"/>
      <c r="D178" s="1"/>
      <c r="E178" s="1"/>
      <c r="F178" s="3"/>
      <c r="G178" s="3"/>
      <c r="H178" s="3"/>
      <c r="I178" s="3"/>
      <c r="J178" s="3"/>
      <c r="K178" s="3"/>
      <c r="L178" s="3"/>
      <c r="M178" s="3"/>
      <c r="N178" s="3"/>
      <c r="O178" s="3"/>
      <c r="Q178" s="3"/>
      <c r="R178" s="3"/>
      <c r="S178" s="3"/>
      <c r="T178" s="3"/>
      <c r="U178" s="1"/>
      <c r="V178" s="3"/>
      <c r="W178" s="3"/>
      <c r="X178" s="3"/>
      <c r="Y178" s="3"/>
      <c r="Z178" s="3"/>
      <c r="AA178" s="3"/>
      <c r="AB178" s="3"/>
      <c r="AC178" s="3"/>
      <c r="AD178" s="3"/>
      <c r="AE178" s="3"/>
      <c r="AF178" s="3"/>
      <c r="AG178" s="3"/>
      <c r="AH178" s="3"/>
      <c r="AI178" s="3"/>
      <c r="AJ178" s="3"/>
    </row>
    <row r="179" spans="1:36">
      <c r="A179" s="3"/>
      <c r="B179" s="3"/>
      <c r="C179" s="3"/>
      <c r="D179" s="1"/>
      <c r="E179" s="1"/>
      <c r="F179" s="3"/>
      <c r="G179" s="3"/>
      <c r="H179" s="3"/>
      <c r="I179" s="3"/>
      <c r="J179" s="3"/>
      <c r="K179" s="3"/>
      <c r="L179" s="3"/>
      <c r="M179" s="3"/>
      <c r="N179" s="3"/>
      <c r="O179" s="3"/>
      <c r="Q179" s="3"/>
      <c r="R179" s="3"/>
      <c r="S179" s="3"/>
      <c r="T179" s="3"/>
      <c r="U179" s="1"/>
      <c r="V179" s="3"/>
      <c r="W179" s="3"/>
      <c r="X179" s="3"/>
      <c r="Y179" s="3"/>
      <c r="Z179" s="3"/>
      <c r="AA179" s="3"/>
      <c r="AB179" s="3"/>
      <c r="AC179" s="3"/>
      <c r="AD179" s="3"/>
      <c r="AE179" s="3"/>
      <c r="AF179" s="3"/>
      <c r="AG179" s="3"/>
      <c r="AH179" s="3"/>
      <c r="AI179" s="3"/>
      <c r="AJ179" s="3"/>
    </row>
    <row r="180" spans="1:36">
      <c r="A180" s="3"/>
      <c r="B180" s="3"/>
      <c r="C180" s="3"/>
      <c r="D180" s="1"/>
      <c r="E180" s="1"/>
      <c r="F180" s="3"/>
      <c r="G180" s="3"/>
      <c r="H180" s="3"/>
      <c r="I180" s="3"/>
      <c r="J180" s="3"/>
      <c r="K180" s="3"/>
      <c r="L180" s="3"/>
      <c r="M180" s="3"/>
      <c r="N180" s="3"/>
      <c r="O180" s="3"/>
      <c r="Q180" s="3"/>
      <c r="R180" s="3"/>
      <c r="S180" s="3"/>
      <c r="T180" s="3"/>
      <c r="U180" s="1"/>
      <c r="V180" s="3"/>
      <c r="W180" s="3"/>
      <c r="X180" s="3"/>
      <c r="Y180" s="3"/>
      <c r="Z180" s="3"/>
      <c r="AA180" s="3"/>
      <c r="AB180" s="3"/>
      <c r="AC180" s="3"/>
      <c r="AD180" s="3"/>
      <c r="AE180" s="3"/>
      <c r="AF180" s="3"/>
      <c r="AG180" s="3"/>
      <c r="AH180" s="3"/>
      <c r="AI180" s="3"/>
      <c r="AJ180" s="3"/>
    </row>
    <row r="181" spans="1:36">
      <c r="A181" s="3"/>
      <c r="B181" s="3"/>
      <c r="C181" s="3"/>
      <c r="D181" s="1"/>
      <c r="E181" s="1"/>
      <c r="F181" s="3"/>
      <c r="G181" s="3"/>
      <c r="H181" s="3"/>
      <c r="I181" s="3"/>
      <c r="J181" s="3"/>
      <c r="K181" s="3"/>
      <c r="L181" s="3"/>
      <c r="M181" s="3"/>
      <c r="N181" s="3"/>
      <c r="O181" s="3"/>
      <c r="Q181" s="3"/>
      <c r="R181" s="3"/>
      <c r="S181" s="3"/>
      <c r="T181" s="3"/>
      <c r="U181" s="1"/>
      <c r="V181" s="3"/>
      <c r="W181" s="3"/>
      <c r="X181" s="3"/>
      <c r="Y181" s="3"/>
      <c r="Z181" s="3"/>
      <c r="AA181" s="3"/>
      <c r="AB181" s="3"/>
      <c r="AC181" s="3"/>
      <c r="AD181" s="3"/>
      <c r="AE181" s="3"/>
      <c r="AF181" s="3"/>
      <c r="AG181" s="3"/>
      <c r="AH181" s="3"/>
      <c r="AI181" s="3"/>
      <c r="AJ181" s="3"/>
    </row>
    <row r="182" spans="1:36">
      <c r="A182" s="3"/>
      <c r="B182" s="3"/>
      <c r="C182" s="3"/>
      <c r="D182" s="1"/>
      <c r="E182" s="1"/>
      <c r="F182" s="3"/>
      <c r="G182" s="3"/>
      <c r="H182" s="3"/>
      <c r="I182" s="3"/>
      <c r="J182" s="3"/>
      <c r="K182" s="3"/>
      <c r="L182" s="3"/>
      <c r="M182" s="3"/>
      <c r="N182" s="3"/>
      <c r="O182" s="3"/>
      <c r="Q182" s="3"/>
      <c r="R182" s="3"/>
      <c r="S182" s="3"/>
      <c r="T182" s="3"/>
      <c r="U182" s="1"/>
      <c r="V182" s="3"/>
      <c r="W182" s="3"/>
      <c r="X182" s="3"/>
      <c r="Y182" s="3"/>
      <c r="Z182" s="3"/>
      <c r="AA182" s="3"/>
      <c r="AB182" s="3"/>
      <c r="AC182" s="3"/>
      <c r="AD182" s="3"/>
      <c r="AE182" s="3"/>
      <c r="AF182" s="3"/>
      <c r="AG182" s="3"/>
      <c r="AH182" s="3"/>
      <c r="AI182" s="3"/>
      <c r="AJ182" s="3"/>
    </row>
    <row r="183" spans="1:36">
      <c r="A183" s="3"/>
      <c r="B183" s="3"/>
      <c r="C183" s="3"/>
      <c r="D183" s="1"/>
      <c r="E183" s="1"/>
      <c r="F183" s="3"/>
      <c r="G183" s="3"/>
      <c r="H183" s="3"/>
      <c r="I183" s="3"/>
      <c r="J183" s="3"/>
      <c r="K183" s="3"/>
      <c r="L183" s="3"/>
      <c r="M183" s="3"/>
      <c r="N183" s="3"/>
      <c r="O183" s="3"/>
      <c r="Q183" s="3"/>
      <c r="R183" s="3"/>
      <c r="S183" s="3"/>
      <c r="T183" s="3"/>
      <c r="U183" s="1"/>
      <c r="V183" s="3"/>
      <c r="W183" s="3"/>
      <c r="X183" s="3"/>
      <c r="Y183" s="3"/>
      <c r="Z183" s="3"/>
      <c r="AA183" s="3"/>
      <c r="AB183" s="3"/>
      <c r="AC183" s="3"/>
      <c r="AD183" s="3"/>
      <c r="AE183" s="3"/>
      <c r="AF183" s="3"/>
      <c r="AG183" s="3"/>
      <c r="AH183" s="3"/>
      <c r="AI183" s="3"/>
      <c r="AJ183" s="3"/>
    </row>
    <row r="184" spans="1:36">
      <c r="A184" s="3"/>
      <c r="B184" s="3"/>
      <c r="C184" s="3"/>
      <c r="D184" s="1"/>
      <c r="E184" s="1"/>
      <c r="F184" s="3"/>
      <c r="G184" s="3"/>
      <c r="H184" s="3"/>
      <c r="I184" s="3"/>
      <c r="J184" s="3"/>
      <c r="K184" s="3"/>
      <c r="L184" s="3"/>
      <c r="M184" s="3"/>
      <c r="N184" s="3"/>
      <c r="O184" s="3"/>
      <c r="Q184" s="3"/>
      <c r="R184" s="3"/>
      <c r="S184" s="3"/>
      <c r="T184" s="3"/>
      <c r="U184" s="1"/>
      <c r="V184" s="3"/>
      <c r="W184" s="3"/>
      <c r="X184" s="3"/>
      <c r="Y184" s="3"/>
      <c r="Z184" s="3"/>
      <c r="AA184" s="3"/>
      <c r="AB184" s="3"/>
      <c r="AC184" s="3"/>
      <c r="AD184" s="3"/>
      <c r="AE184" s="3"/>
      <c r="AF184" s="3"/>
      <c r="AG184" s="3"/>
      <c r="AH184" s="3"/>
      <c r="AI184" s="3"/>
      <c r="AJ184" s="3"/>
    </row>
    <row r="185" spans="1:36">
      <c r="A185" s="3"/>
      <c r="B185" s="3"/>
      <c r="C185" s="3"/>
      <c r="D185" s="1"/>
      <c r="E185" s="1"/>
      <c r="F185" s="3"/>
      <c r="G185" s="3"/>
      <c r="H185" s="3"/>
      <c r="I185" s="3"/>
      <c r="J185" s="3"/>
      <c r="K185" s="3"/>
      <c r="L185" s="3"/>
      <c r="M185" s="3"/>
      <c r="N185" s="3"/>
      <c r="O185" s="3"/>
      <c r="Q185" s="3"/>
      <c r="R185" s="3"/>
      <c r="S185" s="3"/>
      <c r="T185" s="3"/>
      <c r="U185" s="1"/>
      <c r="V185" s="3"/>
      <c r="W185" s="3"/>
      <c r="X185" s="3"/>
      <c r="Y185" s="3"/>
      <c r="Z185" s="3"/>
      <c r="AA185" s="3"/>
      <c r="AB185" s="3"/>
      <c r="AC185" s="3"/>
      <c r="AD185" s="3"/>
      <c r="AE185" s="3"/>
      <c r="AF185" s="3"/>
      <c r="AG185" s="3"/>
      <c r="AH185" s="3"/>
      <c r="AI185" s="3"/>
      <c r="AJ185" s="3"/>
    </row>
    <row r="186" spans="1:36">
      <c r="A186" s="3"/>
      <c r="B186" s="3"/>
      <c r="C186" s="3"/>
      <c r="D186" s="1"/>
      <c r="E186" s="1"/>
      <c r="F186" s="3"/>
      <c r="G186" s="3"/>
      <c r="H186" s="3"/>
      <c r="I186" s="3"/>
      <c r="J186" s="3"/>
      <c r="K186" s="3"/>
      <c r="L186" s="3"/>
      <c r="M186" s="3"/>
      <c r="N186" s="3"/>
      <c r="O186" s="3"/>
      <c r="Q186" s="3"/>
      <c r="R186" s="3"/>
      <c r="S186" s="3"/>
      <c r="T186" s="3"/>
      <c r="U186" s="1"/>
      <c r="V186" s="3"/>
      <c r="W186" s="3"/>
      <c r="X186" s="3"/>
      <c r="Y186" s="3"/>
      <c r="Z186" s="3"/>
      <c r="AA186" s="3"/>
      <c r="AB186" s="3"/>
      <c r="AC186" s="3"/>
      <c r="AD186" s="3"/>
      <c r="AE186" s="3"/>
      <c r="AF186" s="3"/>
      <c r="AG186" s="3"/>
      <c r="AH186" s="3"/>
      <c r="AI186" s="3"/>
      <c r="AJ186" s="3"/>
    </row>
    <row r="187" spans="1:36">
      <c r="A187" s="3"/>
      <c r="B187" s="3"/>
      <c r="C187" s="3"/>
      <c r="D187" s="1"/>
      <c r="E187" s="1"/>
      <c r="F187" s="3"/>
      <c r="G187" s="3"/>
      <c r="H187" s="3"/>
      <c r="I187" s="3"/>
      <c r="J187" s="3"/>
      <c r="K187" s="3"/>
      <c r="L187" s="3"/>
      <c r="M187" s="3"/>
      <c r="N187" s="3"/>
      <c r="O187" s="3"/>
      <c r="Q187" s="3"/>
      <c r="R187" s="3"/>
      <c r="S187" s="3"/>
      <c r="T187" s="3"/>
      <c r="U187" s="1"/>
      <c r="V187" s="3"/>
      <c r="W187" s="3"/>
      <c r="X187" s="3"/>
      <c r="Y187" s="3"/>
      <c r="Z187" s="3"/>
      <c r="AA187" s="3"/>
      <c r="AB187" s="3"/>
      <c r="AC187" s="3"/>
      <c r="AD187" s="3"/>
      <c r="AE187" s="3"/>
      <c r="AF187" s="3"/>
      <c r="AG187" s="3"/>
      <c r="AH187" s="3"/>
      <c r="AI187" s="3"/>
      <c r="AJ187" s="3"/>
    </row>
    <row r="188" spans="1:36">
      <c r="A188" s="3"/>
      <c r="B188" s="3"/>
      <c r="C188" s="3"/>
      <c r="D188" s="1"/>
      <c r="E188" s="1"/>
      <c r="F188" s="3"/>
      <c r="G188" s="3"/>
      <c r="H188" s="3"/>
      <c r="I188" s="3"/>
      <c r="J188" s="3"/>
      <c r="K188" s="3"/>
      <c r="L188" s="3"/>
      <c r="M188" s="3"/>
      <c r="N188" s="3"/>
      <c r="O188" s="3"/>
      <c r="Q188" s="3"/>
      <c r="R188" s="3"/>
      <c r="S188" s="3"/>
      <c r="T188" s="3"/>
      <c r="U188" s="1"/>
      <c r="V188" s="3"/>
      <c r="W188" s="3"/>
      <c r="X188" s="3"/>
      <c r="Y188" s="3"/>
      <c r="Z188" s="3"/>
      <c r="AA188" s="3"/>
      <c r="AB188" s="3"/>
      <c r="AC188" s="3"/>
      <c r="AD188" s="3"/>
      <c r="AE188" s="3"/>
      <c r="AF188" s="3"/>
      <c r="AG188" s="3"/>
      <c r="AH188" s="3"/>
      <c r="AI188" s="3"/>
      <c r="AJ188" s="3"/>
    </row>
    <row r="189" spans="1:36">
      <c r="A189" s="3"/>
      <c r="B189" s="3"/>
      <c r="C189" s="3"/>
      <c r="D189" s="1"/>
      <c r="E189" s="1"/>
      <c r="F189" s="3"/>
      <c r="G189" s="3"/>
      <c r="H189" s="3"/>
      <c r="I189" s="3"/>
      <c r="J189" s="3"/>
      <c r="K189" s="3"/>
      <c r="L189" s="3"/>
      <c r="M189" s="3"/>
      <c r="N189" s="3"/>
      <c r="O189" s="3"/>
      <c r="Q189" s="3"/>
      <c r="R189" s="3"/>
      <c r="S189" s="3"/>
      <c r="T189" s="3"/>
      <c r="U189" s="1"/>
      <c r="V189" s="3"/>
      <c r="W189" s="3"/>
      <c r="X189" s="3"/>
      <c r="Y189" s="3"/>
      <c r="Z189" s="3"/>
      <c r="AA189" s="3"/>
      <c r="AB189" s="3"/>
      <c r="AC189" s="3"/>
      <c r="AD189" s="3"/>
      <c r="AE189" s="3"/>
      <c r="AF189" s="3"/>
      <c r="AG189" s="3"/>
      <c r="AH189" s="3"/>
      <c r="AI189" s="3"/>
      <c r="AJ189" s="3"/>
    </row>
    <row r="190" spans="1:36">
      <c r="A190" s="3"/>
      <c r="B190" s="3"/>
      <c r="C190" s="3"/>
      <c r="D190" s="1"/>
      <c r="E190" s="1"/>
      <c r="F190" s="3"/>
      <c r="G190" s="3"/>
      <c r="H190" s="3"/>
      <c r="I190" s="3"/>
      <c r="J190" s="3"/>
      <c r="K190" s="3"/>
      <c r="L190" s="3"/>
      <c r="M190" s="3"/>
      <c r="N190" s="3"/>
      <c r="O190" s="3"/>
      <c r="Q190" s="3"/>
      <c r="R190" s="3"/>
      <c r="S190" s="3"/>
      <c r="T190" s="3"/>
      <c r="U190" s="1"/>
      <c r="V190" s="3"/>
      <c r="W190" s="3"/>
      <c r="X190" s="3"/>
      <c r="Y190" s="3"/>
      <c r="Z190" s="3"/>
      <c r="AA190" s="3"/>
      <c r="AB190" s="3"/>
      <c r="AC190" s="3"/>
      <c r="AD190" s="3"/>
      <c r="AE190" s="3"/>
      <c r="AF190" s="3"/>
      <c r="AG190" s="3"/>
      <c r="AH190" s="3"/>
      <c r="AI190" s="3"/>
      <c r="AJ190" s="3"/>
    </row>
    <row r="191" spans="1:36">
      <c r="A191" s="3"/>
      <c r="B191" s="3"/>
      <c r="C191" s="3"/>
      <c r="D191" s="1"/>
      <c r="E191" s="1"/>
      <c r="F191" s="3"/>
      <c r="G191" s="3"/>
      <c r="H191" s="3"/>
      <c r="I191" s="3"/>
      <c r="J191" s="3"/>
      <c r="K191" s="3"/>
      <c r="L191" s="3"/>
      <c r="M191" s="3"/>
      <c r="N191" s="3"/>
      <c r="O191" s="3"/>
      <c r="Q191" s="3"/>
      <c r="R191" s="3"/>
      <c r="S191" s="3"/>
      <c r="T191" s="3"/>
      <c r="U191" s="1"/>
      <c r="V191" s="3"/>
      <c r="W191" s="3"/>
      <c r="X191" s="3"/>
      <c r="Y191" s="3"/>
      <c r="Z191" s="3"/>
      <c r="AA191" s="3"/>
      <c r="AB191" s="3"/>
      <c r="AC191" s="3"/>
      <c r="AD191" s="3"/>
      <c r="AE191" s="3"/>
      <c r="AF191" s="3"/>
      <c r="AG191" s="3"/>
      <c r="AH191" s="3"/>
      <c r="AI191" s="3"/>
      <c r="AJ191" s="3"/>
    </row>
    <row r="192" spans="1:36">
      <c r="A192" s="3"/>
      <c r="B192" s="3"/>
      <c r="C192" s="3"/>
      <c r="D192" s="1"/>
      <c r="E192" s="1"/>
      <c r="F192" s="3"/>
      <c r="G192" s="3"/>
      <c r="H192" s="3"/>
      <c r="I192" s="3"/>
      <c r="J192" s="3"/>
      <c r="K192" s="3"/>
      <c r="L192" s="3"/>
      <c r="M192" s="3"/>
      <c r="N192" s="3"/>
      <c r="O192" s="3"/>
      <c r="Q192" s="3"/>
      <c r="R192" s="3"/>
      <c r="S192" s="3"/>
      <c r="T192" s="3"/>
      <c r="U192" s="1"/>
      <c r="V192" s="3"/>
      <c r="W192" s="3"/>
      <c r="X192" s="3"/>
      <c r="Y192" s="3"/>
      <c r="Z192" s="3"/>
      <c r="AA192" s="3"/>
      <c r="AB192" s="3"/>
      <c r="AC192" s="3"/>
      <c r="AD192" s="3"/>
      <c r="AE192" s="3"/>
      <c r="AF192" s="3"/>
      <c r="AG192" s="3"/>
      <c r="AH192" s="3"/>
      <c r="AI192" s="3"/>
      <c r="AJ192" s="3"/>
    </row>
    <row r="193" spans="1:36">
      <c r="A193" s="3"/>
      <c r="B193" s="3"/>
      <c r="C193" s="3"/>
      <c r="D193" s="1"/>
      <c r="E193" s="1"/>
      <c r="F193" s="3"/>
      <c r="G193" s="3"/>
      <c r="H193" s="3"/>
      <c r="I193" s="3"/>
      <c r="J193" s="3"/>
      <c r="K193" s="3"/>
      <c r="L193" s="3"/>
      <c r="M193" s="3"/>
      <c r="N193" s="3"/>
      <c r="O193" s="3"/>
      <c r="Q193" s="3"/>
      <c r="R193" s="3"/>
      <c r="S193" s="3"/>
      <c r="T193" s="3"/>
      <c r="U193" s="1"/>
      <c r="V193" s="3"/>
      <c r="W193" s="3"/>
      <c r="X193" s="3"/>
      <c r="Y193" s="3"/>
      <c r="Z193" s="3"/>
      <c r="AA193" s="3"/>
      <c r="AB193" s="3"/>
      <c r="AC193" s="3"/>
      <c r="AD193" s="3"/>
      <c r="AE193" s="3"/>
      <c r="AF193" s="3"/>
      <c r="AG193" s="3"/>
      <c r="AH193" s="3"/>
      <c r="AI193" s="3"/>
      <c r="AJ193" s="3"/>
    </row>
    <row r="194" spans="1:36">
      <c r="A194" s="3"/>
      <c r="B194" s="3"/>
      <c r="C194" s="3"/>
      <c r="D194" s="1"/>
      <c r="E194" s="1"/>
      <c r="F194" s="3"/>
      <c r="G194" s="3"/>
      <c r="H194" s="3"/>
      <c r="I194" s="3"/>
      <c r="J194" s="3"/>
      <c r="K194" s="3"/>
      <c r="L194" s="3"/>
      <c r="M194" s="3"/>
      <c r="N194" s="3"/>
      <c r="O194" s="3"/>
      <c r="Q194" s="3"/>
      <c r="R194" s="3"/>
      <c r="S194" s="3"/>
      <c r="T194" s="3"/>
      <c r="U194" s="1"/>
      <c r="V194" s="3"/>
      <c r="W194" s="3"/>
      <c r="X194" s="3"/>
      <c r="Y194" s="3"/>
      <c r="Z194" s="3"/>
      <c r="AA194" s="3"/>
      <c r="AB194" s="3"/>
      <c r="AC194" s="3"/>
      <c r="AD194" s="3"/>
      <c r="AE194" s="3"/>
      <c r="AF194" s="3"/>
      <c r="AG194" s="3"/>
      <c r="AH194" s="3"/>
      <c r="AI194" s="3"/>
      <c r="AJ194" s="3"/>
    </row>
    <row r="195" spans="1:36">
      <c r="A195" s="3"/>
      <c r="B195" s="3"/>
      <c r="C195" s="3"/>
      <c r="D195" s="1"/>
      <c r="E195" s="1"/>
      <c r="F195" s="3"/>
      <c r="G195" s="3"/>
      <c r="H195" s="3"/>
      <c r="I195" s="3"/>
      <c r="J195" s="3"/>
      <c r="K195" s="3"/>
      <c r="L195" s="3"/>
      <c r="M195" s="3"/>
      <c r="N195" s="3"/>
      <c r="O195" s="3"/>
      <c r="Q195" s="3"/>
      <c r="R195" s="3"/>
      <c r="S195" s="3"/>
      <c r="T195" s="3"/>
      <c r="U195" s="1"/>
      <c r="V195" s="3"/>
      <c r="W195" s="3"/>
      <c r="X195" s="3"/>
      <c r="Y195" s="3"/>
      <c r="Z195" s="3"/>
      <c r="AA195" s="3"/>
      <c r="AB195" s="3"/>
      <c r="AC195" s="3"/>
      <c r="AD195" s="3"/>
      <c r="AE195" s="3"/>
      <c r="AF195" s="3"/>
      <c r="AG195" s="3"/>
      <c r="AH195" s="3"/>
      <c r="AI195" s="3"/>
      <c r="AJ195" s="3"/>
    </row>
    <row r="196" spans="1:36">
      <c r="A196" s="3"/>
      <c r="B196" s="3"/>
      <c r="C196" s="3"/>
      <c r="D196" s="1"/>
      <c r="E196" s="1"/>
      <c r="F196" s="3"/>
      <c r="G196" s="3"/>
      <c r="H196" s="3"/>
      <c r="I196" s="3"/>
      <c r="J196" s="3"/>
      <c r="K196" s="3"/>
      <c r="L196" s="3"/>
      <c r="M196" s="3"/>
      <c r="N196" s="3"/>
      <c r="O196" s="3"/>
      <c r="Q196" s="3"/>
      <c r="R196" s="3"/>
      <c r="S196" s="3"/>
      <c r="T196" s="3"/>
      <c r="U196" s="1"/>
      <c r="V196" s="3"/>
      <c r="W196" s="3"/>
      <c r="X196" s="3"/>
      <c r="Y196" s="3"/>
      <c r="Z196" s="3"/>
      <c r="AA196" s="3"/>
      <c r="AB196" s="3"/>
      <c r="AC196" s="3"/>
      <c r="AD196" s="3"/>
      <c r="AE196" s="3"/>
      <c r="AF196" s="3"/>
      <c r="AG196" s="3"/>
      <c r="AH196" s="3"/>
      <c r="AI196" s="3"/>
      <c r="AJ196" s="3"/>
    </row>
    <row r="197" spans="1:36">
      <c r="A197" s="3"/>
      <c r="B197" s="3"/>
      <c r="C197" s="3"/>
      <c r="D197" s="1"/>
      <c r="E197" s="1"/>
      <c r="F197" s="3"/>
      <c r="G197" s="3"/>
      <c r="H197" s="3"/>
      <c r="I197" s="3"/>
      <c r="J197" s="3"/>
      <c r="K197" s="3"/>
      <c r="L197" s="3"/>
      <c r="M197" s="3"/>
      <c r="N197" s="3"/>
      <c r="O197" s="3"/>
      <c r="Q197" s="3"/>
      <c r="R197" s="3"/>
      <c r="S197" s="3"/>
      <c r="T197" s="3"/>
      <c r="U197" s="1"/>
      <c r="V197" s="3"/>
      <c r="W197" s="3"/>
      <c r="X197" s="3"/>
      <c r="Y197" s="3"/>
      <c r="Z197" s="3"/>
      <c r="AA197" s="3"/>
      <c r="AB197" s="3"/>
      <c r="AC197" s="3"/>
      <c r="AD197" s="3"/>
      <c r="AE197" s="3"/>
      <c r="AF197" s="3"/>
      <c r="AG197" s="3"/>
      <c r="AH197" s="3"/>
      <c r="AI197" s="3"/>
      <c r="AJ197" s="3"/>
    </row>
    <row r="198" spans="1:36">
      <c r="A198" s="3"/>
      <c r="B198" s="3"/>
      <c r="C198" s="3"/>
      <c r="D198" s="1"/>
      <c r="E198" s="1"/>
      <c r="F198" s="3"/>
      <c r="G198" s="3"/>
      <c r="H198" s="3"/>
      <c r="I198" s="3"/>
      <c r="J198" s="3"/>
      <c r="K198" s="3"/>
      <c r="L198" s="3"/>
      <c r="M198" s="3"/>
      <c r="N198" s="3"/>
      <c r="O198" s="3"/>
      <c r="Q198" s="3"/>
      <c r="R198" s="3"/>
      <c r="S198" s="3"/>
      <c r="T198" s="3"/>
      <c r="U198" s="1"/>
      <c r="V198" s="3"/>
      <c r="W198" s="3"/>
      <c r="X198" s="3"/>
      <c r="Y198" s="3"/>
      <c r="Z198" s="3"/>
      <c r="AA198" s="3"/>
      <c r="AB198" s="3"/>
      <c r="AC198" s="3"/>
      <c r="AD198" s="3"/>
      <c r="AE198" s="3"/>
      <c r="AF198" s="3"/>
      <c r="AG198" s="3"/>
      <c r="AH198" s="3"/>
      <c r="AI198" s="3"/>
      <c r="AJ198" s="3"/>
    </row>
    <row r="199" spans="1:36">
      <c r="A199" s="3"/>
      <c r="B199" s="3"/>
      <c r="C199" s="3"/>
      <c r="D199" s="1"/>
      <c r="E199" s="1"/>
      <c r="F199" s="3"/>
      <c r="G199" s="3"/>
      <c r="H199" s="3"/>
      <c r="I199" s="3"/>
      <c r="J199" s="3"/>
      <c r="K199" s="3"/>
      <c r="L199" s="3"/>
      <c r="M199" s="3"/>
      <c r="N199" s="3"/>
      <c r="O199" s="3"/>
      <c r="Q199" s="3"/>
      <c r="R199" s="3"/>
      <c r="S199" s="3"/>
      <c r="T199" s="3"/>
      <c r="U199" s="1"/>
      <c r="V199" s="3"/>
      <c r="W199" s="3"/>
      <c r="X199" s="3"/>
      <c r="Y199" s="3"/>
      <c r="Z199" s="3"/>
      <c r="AA199" s="3"/>
      <c r="AB199" s="3"/>
      <c r="AC199" s="3"/>
      <c r="AD199" s="3"/>
      <c r="AE199" s="3"/>
      <c r="AF199" s="3"/>
      <c r="AG199" s="3"/>
      <c r="AH199" s="3"/>
      <c r="AI199" s="3"/>
      <c r="AJ199" s="3"/>
    </row>
    <row r="200" spans="1:36">
      <c r="A200" s="3"/>
      <c r="B200" s="3"/>
      <c r="C200" s="3"/>
      <c r="D200" s="1"/>
      <c r="E200" s="1"/>
      <c r="F200" s="3"/>
      <c r="G200" s="3"/>
      <c r="H200" s="3"/>
      <c r="I200" s="3"/>
      <c r="J200" s="3"/>
      <c r="K200" s="3"/>
      <c r="L200" s="3"/>
      <c r="M200" s="3"/>
      <c r="N200" s="3"/>
      <c r="O200" s="3"/>
      <c r="Q200" s="3"/>
      <c r="R200" s="3"/>
      <c r="S200" s="3"/>
      <c r="T200" s="3"/>
      <c r="U200" s="1"/>
      <c r="V200" s="3"/>
      <c r="W200" s="3"/>
      <c r="X200" s="3"/>
      <c r="Y200" s="3"/>
      <c r="Z200" s="3"/>
      <c r="AA200" s="3"/>
      <c r="AB200" s="3"/>
      <c r="AC200" s="3"/>
      <c r="AD200" s="3"/>
      <c r="AE200" s="3"/>
      <c r="AF200" s="3"/>
      <c r="AG200" s="3"/>
      <c r="AH200" s="3"/>
      <c r="AI200" s="3"/>
      <c r="AJ200" s="3"/>
    </row>
    <row r="201" spans="1:36">
      <c r="A201" s="3"/>
      <c r="B201" s="3"/>
      <c r="C201" s="3"/>
      <c r="D201" s="1"/>
      <c r="E201" s="1"/>
      <c r="F201" s="3"/>
      <c r="G201" s="3"/>
      <c r="H201" s="3"/>
      <c r="I201" s="3"/>
      <c r="J201" s="3"/>
      <c r="K201" s="3"/>
      <c r="L201" s="3"/>
      <c r="M201" s="3"/>
      <c r="N201" s="3"/>
      <c r="O201" s="3"/>
      <c r="Q201" s="3"/>
      <c r="R201" s="3"/>
      <c r="S201" s="3"/>
      <c r="T201" s="3"/>
      <c r="U201" s="1"/>
      <c r="V201" s="3"/>
      <c r="W201" s="3"/>
      <c r="X201" s="3"/>
      <c r="Y201" s="3"/>
      <c r="Z201" s="3"/>
      <c r="AA201" s="3"/>
      <c r="AB201" s="3"/>
      <c r="AC201" s="3"/>
      <c r="AD201" s="3"/>
      <c r="AE201" s="3"/>
      <c r="AF201" s="3"/>
      <c r="AG201" s="3"/>
      <c r="AH201" s="3"/>
      <c r="AI201" s="3"/>
      <c r="AJ201" s="3"/>
    </row>
    <row r="202" spans="1:36">
      <c r="A202" s="3"/>
      <c r="B202" s="3"/>
      <c r="C202" s="3"/>
      <c r="D202" s="1"/>
      <c r="E202" s="1"/>
      <c r="F202" s="3"/>
      <c r="G202" s="3"/>
      <c r="H202" s="3"/>
      <c r="I202" s="3"/>
      <c r="J202" s="3"/>
      <c r="K202" s="3"/>
      <c r="L202" s="3"/>
      <c r="M202" s="3"/>
      <c r="N202" s="3"/>
      <c r="O202" s="3"/>
      <c r="Q202" s="3"/>
      <c r="R202" s="3"/>
      <c r="S202" s="3"/>
      <c r="T202" s="3"/>
      <c r="U202" s="1"/>
      <c r="V202" s="3"/>
      <c r="W202" s="3"/>
      <c r="X202" s="3"/>
      <c r="Y202" s="3"/>
      <c r="Z202" s="3"/>
      <c r="AA202" s="3"/>
      <c r="AB202" s="3"/>
      <c r="AC202" s="3"/>
      <c r="AD202" s="3"/>
      <c r="AE202" s="3"/>
      <c r="AF202" s="3"/>
      <c r="AG202" s="3"/>
      <c r="AH202" s="3"/>
      <c r="AI202" s="3"/>
      <c r="AJ202" s="3"/>
    </row>
    <row r="203" spans="1:36">
      <c r="A203" s="3"/>
      <c r="B203" s="3"/>
      <c r="C203" s="3"/>
      <c r="D203" s="1"/>
      <c r="E203" s="1"/>
      <c r="F203" s="3"/>
      <c r="G203" s="3"/>
      <c r="H203" s="3"/>
      <c r="I203" s="3"/>
      <c r="J203" s="3"/>
      <c r="K203" s="3"/>
      <c r="L203" s="3"/>
      <c r="M203" s="3"/>
      <c r="N203" s="3"/>
      <c r="O203" s="3"/>
      <c r="Q203" s="3"/>
      <c r="R203" s="3"/>
      <c r="S203" s="3"/>
      <c r="T203" s="3"/>
      <c r="U203" s="1"/>
      <c r="V203" s="3"/>
      <c r="W203" s="3"/>
      <c r="X203" s="3"/>
      <c r="Y203" s="3"/>
      <c r="Z203" s="3"/>
      <c r="AA203" s="3"/>
      <c r="AB203" s="3"/>
      <c r="AC203" s="3"/>
      <c r="AD203" s="3"/>
      <c r="AE203" s="3"/>
      <c r="AF203" s="3"/>
      <c r="AG203" s="3"/>
      <c r="AH203" s="3"/>
      <c r="AI203" s="3"/>
      <c r="AJ203" s="3"/>
    </row>
    <row r="204" spans="1:36">
      <c r="A204" s="3"/>
      <c r="B204" s="3"/>
      <c r="C204" s="3"/>
      <c r="D204" s="1"/>
      <c r="E204" s="1"/>
      <c r="F204" s="3"/>
      <c r="G204" s="3"/>
      <c r="H204" s="3"/>
      <c r="I204" s="3"/>
      <c r="J204" s="3"/>
      <c r="K204" s="3"/>
      <c r="L204" s="3"/>
      <c r="M204" s="3"/>
      <c r="N204" s="3"/>
      <c r="O204" s="3"/>
      <c r="Q204" s="3"/>
      <c r="R204" s="3"/>
      <c r="S204" s="3"/>
      <c r="T204" s="3"/>
      <c r="U204" s="1"/>
      <c r="V204" s="3"/>
      <c r="W204" s="3"/>
      <c r="X204" s="3"/>
      <c r="Y204" s="3"/>
      <c r="Z204" s="3"/>
      <c r="AA204" s="3"/>
      <c r="AB204" s="3"/>
      <c r="AC204" s="3"/>
      <c r="AD204" s="3"/>
      <c r="AE204" s="3"/>
      <c r="AF204" s="3"/>
      <c r="AG204" s="3"/>
      <c r="AH204" s="3"/>
      <c r="AI204" s="3"/>
      <c r="AJ204" s="3"/>
    </row>
    <row r="205" spans="1:36">
      <c r="A205" s="3"/>
      <c r="B205" s="3"/>
      <c r="C205" s="3"/>
      <c r="D205" s="1"/>
      <c r="E205" s="1"/>
      <c r="F205" s="3"/>
      <c r="G205" s="3"/>
      <c r="H205" s="3"/>
      <c r="I205" s="3"/>
      <c r="J205" s="3"/>
      <c r="K205" s="3"/>
      <c r="L205" s="3"/>
      <c r="M205" s="3"/>
      <c r="N205" s="3"/>
      <c r="O205" s="3"/>
      <c r="Q205" s="3"/>
      <c r="R205" s="3"/>
      <c r="S205" s="3"/>
      <c r="T205" s="3"/>
      <c r="U205" s="1"/>
      <c r="V205" s="3"/>
      <c r="W205" s="3"/>
      <c r="X205" s="3"/>
      <c r="Y205" s="3"/>
      <c r="Z205" s="3"/>
      <c r="AA205" s="3"/>
      <c r="AB205" s="3"/>
      <c r="AC205" s="3"/>
      <c r="AD205" s="3"/>
      <c r="AE205" s="3"/>
      <c r="AF205" s="3"/>
      <c r="AG205" s="3"/>
      <c r="AH205" s="3"/>
      <c r="AI205" s="3"/>
      <c r="AJ205" s="3"/>
    </row>
    <row r="206" spans="1:36">
      <c r="A206" s="3"/>
      <c r="B206" s="3"/>
      <c r="C206" s="3"/>
      <c r="D206" s="1"/>
      <c r="E206" s="1"/>
      <c r="F206" s="3"/>
      <c r="G206" s="3"/>
      <c r="H206" s="3"/>
      <c r="I206" s="3"/>
      <c r="J206" s="3"/>
      <c r="K206" s="3"/>
      <c r="L206" s="3"/>
      <c r="M206" s="3"/>
      <c r="N206" s="3"/>
      <c r="O206" s="3"/>
      <c r="Q206" s="3"/>
      <c r="R206" s="3"/>
      <c r="S206" s="3"/>
      <c r="T206" s="3"/>
      <c r="U206" s="1"/>
      <c r="V206" s="3"/>
      <c r="W206" s="3"/>
      <c r="X206" s="3"/>
      <c r="Y206" s="3"/>
      <c r="Z206" s="3"/>
      <c r="AA206" s="3"/>
      <c r="AB206" s="3"/>
      <c r="AC206" s="3"/>
      <c r="AD206" s="3"/>
      <c r="AE206" s="3"/>
      <c r="AF206" s="3"/>
      <c r="AG206" s="3"/>
      <c r="AH206" s="3"/>
      <c r="AI206" s="3"/>
      <c r="AJ206" s="3"/>
    </row>
    <row r="207" spans="1:36">
      <c r="A207" s="3"/>
      <c r="B207" s="3"/>
      <c r="C207" s="3"/>
      <c r="D207" s="1"/>
      <c r="E207" s="1"/>
      <c r="F207" s="3"/>
      <c r="G207" s="3"/>
      <c r="H207" s="3"/>
      <c r="I207" s="3"/>
      <c r="J207" s="3"/>
      <c r="K207" s="3"/>
      <c r="L207" s="3"/>
      <c r="M207" s="3"/>
      <c r="N207" s="3"/>
      <c r="O207" s="3"/>
      <c r="Q207" s="3"/>
      <c r="R207" s="3"/>
      <c r="S207" s="3"/>
      <c r="T207" s="3"/>
      <c r="U207" s="1"/>
      <c r="V207" s="3"/>
      <c r="W207" s="3"/>
      <c r="X207" s="3"/>
      <c r="Y207" s="3"/>
      <c r="Z207" s="3"/>
      <c r="AA207" s="3"/>
      <c r="AB207" s="3"/>
      <c r="AC207" s="3"/>
      <c r="AD207" s="3"/>
      <c r="AE207" s="3"/>
      <c r="AF207" s="3"/>
      <c r="AG207" s="3"/>
      <c r="AH207" s="3"/>
      <c r="AI207" s="3"/>
      <c r="AJ207" s="3"/>
    </row>
  </sheetData>
  <dataValidations count="1">
    <dataValidation type="list" sqref="G2:G23 G67:H76 G78:G507 H78:H89 H91:I507 I67:I80 I82:I89 L2:L4 O91:O507 P57 L61 Q72:Q89 Q91:T507 W91:X507 AH91:AH507 L63:L507 H65:I65 P59 G61:G65 G25:G59 L6:L59 Q2:Q59 Q61:Q70 AI2:AI507 AH2:AH89 AE2:AE507 W2:X89 R2:T89 O2:O89 I2:I64 H2:H63" xr:uid="{00000000-0002-0000-0000-000000000000}">
      <formula1>#REF!</formula1>
    </dataValidation>
  </dataValidations>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1" r:id="rId9" xr:uid="{00000000-0004-0000-0000-000008000000}"/>
    <hyperlink ref="D12" r:id="rId10" xr:uid="{00000000-0004-0000-0000-000009000000}"/>
    <hyperlink ref="D13" r:id="rId11" xr:uid="{00000000-0004-0000-0000-00000A000000}"/>
    <hyperlink ref="D15" r:id="rId12" xr:uid="{00000000-0004-0000-0000-00000B000000}"/>
    <hyperlink ref="D16" r:id="rId13" xr:uid="{00000000-0004-0000-0000-00000C000000}"/>
    <hyperlink ref="D19" r:id="rId14" xr:uid="{00000000-0004-0000-0000-00000D000000}"/>
    <hyperlink ref="D20" r:id="rId15" xr:uid="{00000000-0004-0000-0000-00000E000000}"/>
    <hyperlink ref="D21" r:id="rId16" xr:uid="{00000000-0004-0000-0000-00000F000000}"/>
    <hyperlink ref="D22" r:id="rId17" xr:uid="{00000000-0004-0000-0000-000010000000}"/>
    <hyperlink ref="D23" r:id="rId18" xr:uid="{00000000-0004-0000-0000-000011000000}"/>
    <hyperlink ref="D24" r:id="rId19" xr:uid="{00000000-0004-0000-0000-000012000000}"/>
    <hyperlink ref="D25" r:id="rId20" xr:uid="{00000000-0004-0000-0000-000013000000}"/>
    <hyperlink ref="D26" r:id="rId21" xr:uid="{00000000-0004-0000-0000-000014000000}"/>
    <hyperlink ref="D27" r:id="rId22" xr:uid="{00000000-0004-0000-0000-000015000000}"/>
    <hyperlink ref="D29" r:id="rId23" xr:uid="{00000000-0004-0000-0000-000016000000}"/>
    <hyperlink ref="D30" r:id="rId24" xr:uid="{00000000-0004-0000-0000-000017000000}"/>
    <hyperlink ref="D31" r:id="rId25" xr:uid="{00000000-0004-0000-0000-000018000000}"/>
    <hyperlink ref="D32" r:id="rId26" xr:uid="{00000000-0004-0000-0000-000019000000}"/>
    <hyperlink ref="D33" r:id="rId27" xr:uid="{00000000-0004-0000-0000-00001A000000}"/>
    <hyperlink ref="D34" r:id="rId28" xr:uid="{00000000-0004-0000-0000-00001B000000}"/>
    <hyperlink ref="D35" r:id="rId29" xr:uid="{00000000-0004-0000-0000-00001C000000}"/>
    <hyperlink ref="D37" r:id="rId30" xr:uid="{00000000-0004-0000-0000-00001D000000}"/>
    <hyperlink ref="D38" r:id="rId31" xr:uid="{00000000-0004-0000-0000-00001E000000}"/>
    <hyperlink ref="D39" r:id="rId32" xr:uid="{00000000-0004-0000-0000-00001F000000}"/>
    <hyperlink ref="D40" r:id="rId33" xr:uid="{00000000-0004-0000-0000-000020000000}"/>
    <hyperlink ref="D41" r:id="rId34" xr:uid="{00000000-0004-0000-0000-000021000000}"/>
    <hyperlink ref="D42" r:id="rId35" xr:uid="{00000000-0004-0000-0000-000022000000}"/>
    <hyperlink ref="D43" r:id="rId36" xr:uid="{00000000-0004-0000-0000-000023000000}"/>
    <hyperlink ref="D45" r:id="rId37" xr:uid="{00000000-0004-0000-0000-000024000000}"/>
    <hyperlink ref="D49" r:id="rId38" xr:uid="{00000000-0004-0000-0000-000025000000}"/>
    <hyperlink ref="D50" r:id="rId39" xr:uid="{00000000-0004-0000-0000-000026000000}"/>
    <hyperlink ref="D51" r:id="rId40" xr:uid="{00000000-0004-0000-0000-000027000000}"/>
    <hyperlink ref="D52" r:id="rId41" xr:uid="{00000000-0004-0000-0000-000028000000}"/>
    <hyperlink ref="D53" r:id="rId42" xr:uid="{00000000-0004-0000-0000-000029000000}"/>
    <hyperlink ref="D54" r:id="rId43" xr:uid="{00000000-0004-0000-0000-00002A000000}"/>
    <hyperlink ref="D63" r:id="rId44" xr:uid="{00000000-0004-0000-0000-00002C000000}"/>
    <hyperlink ref="D68" r:id="rId45" xr:uid="{00000000-0004-0000-0000-00002D000000}"/>
    <hyperlink ref="D69" r:id="rId46" xr:uid="{00000000-0004-0000-0000-00002E000000}"/>
    <hyperlink ref="D70" r:id="rId47" xr:uid="{00000000-0004-0000-0000-00002F000000}"/>
    <hyperlink ref="D71" r:id="rId48" xr:uid="{00000000-0004-0000-0000-000030000000}"/>
    <hyperlink ref="D72" r:id="rId49" xr:uid="{00000000-0004-0000-0000-000031000000}"/>
    <hyperlink ref="D74" r:id="rId50" xr:uid="{00000000-0004-0000-0000-000032000000}"/>
    <hyperlink ref="D75" r:id="rId51" xr:uid="{00000000-0004-0000-0000-000033000000}"/>
    <hyperlink ref="D76" r:id="rId52" xr:uid="{00000000-0004-0000-0000-000034000000}"/>
    <hyperlink ref="D78" r:id="rId53" xr:uid="{00000000-0004-0000-0000-000035000000}"/>
    <hyperlink ref="D79" r:id="rId54" xr:uid="{00000000-0004-0000-0000-000036000000}"/>
    <hyperlink ref="D80" r:id="rId55" xr:uid="{00000000-0004-0000-0000-000037000000}"/>
    <hyperlink ref="D81" r:id="rId56" xr:uid="{00000000-0004-0000-0000-000038000000}"/>
    <hyperlink ref="D82" r:id="rId57" xr:uid="{00000000-0004-0000-0000-000039000000}"/>
    <hyperlink ref="D83" r:id="rId58" xr:uid="{00000000-0004-0000-0000-00003A000000}"/>
    <hyperlink ref="D84" r:id="rId59" xr:uid="{00000000-0004-0000-0000-00003B000000}"/>
    <hyperlink ref="D85" r:id="rId60" xr:uid="{00000000-0004-0000-0000-00003C000000}"/>
    <hyperlink ref="D86" r:id="rId61" xr:uid="{00000000-0004-0000-0000-00003D000000}"/>
    <hyperlink ref="D87" r:id="rId62" xr:uid="{00000000-0004-0000-0000-00003E000000}"/>
    <hyperlink ref="D88" r:id="rId63" xr:uid="{00000000-0004-0000-0000-00003F000000}"/>
    <hyperlink ref="D89" r:id="rId64" xr:uid="{00000000-0004-0000-0000-000040000000}"/>
    <hyperlink ref="D90" r:id="rId65" xr:uid="{00000000-0004-0000-0000-000041000000}"/>
    <hyperlink ref="D91" r:id="rId66" xr:uid="{00000000-0004-0000-0000-000042000000}"/>
    <hyperlink ref="D92" r:id="rId67" xr:uid="{00000000-0004-0000-0000-000043000000}"/>
    <hyperlink ref="D93" r:id="rId68" xr:uid="{00000000-0004-0000-0000-000044000000}"/>
    <hyperlink ref="D94" r:id="rId69" xr:uid="{00000000-0004-0000-0000-000045000000}"/>
    <hyperlink ref="D95" r:id="rId70" xr:uid="{00000000-0004-0000-0000-000046000000}"/>
    <hyperlink ref="D96" r:id="rId71" xr:uid="{00000000-0004-0000-0000-000047000000}"/>
    <hyperlink ref="D97" r:id="rId72" xr:uid="{00000000-0004-0000-0000-000048000000}"/>
    <hyperlink ref="D98" r:id="rId73" display="https://www.cdc.gov/nchs/nhcs/index.html" xr:uid="{00000000-0004-0000-0000-000049000000}"/>
    <hyperlink ref="D99" r:id="rId74" display="https://www.cdc.gov/nndss/site.html" xr:uid="{00000000-0004-0000-0000-00004A000000}"/>
    <hyperlink ref="D100" r:id="rId75" display="https://sleepdata.org/" xr:uid="{00000000-0004-0000-0000-00004B000000}"/>
    <hyperlink ref="D101" r:id="rId76" display="https://nda.nih.gov/" xr:uid="{00000000-0004-0000-0000-00004C000000}"/>
    <hyperlink ref="D102" r:id="rId77" display="https://www.niddk.nih.gov/about-niddk/strategic-plans-reports/usrds" xr:uid="{00000000-0004-0000-0000-00004D000000}"/>
    <hyperlink ref="D103" r:id="rId78" display="https://nemsis.org/" xr:uid="{00000000-0004-0000-0000-00004E000000}"/>
    <hyperlink ref="D104" r:id="rId79" display="https://hints.cancer.gov/" xr:uid="{00000000-0004-0000-0000-00004F000000}"/>
    <hyperlink ref="D73" r:id="rId80" xr:uid="{F1244711-2B88-5E46-A595-7FD72034E280}"/>
    <hyperlink ref="D77" r:id="rId81" xr:uid="{94EB98B4-08A3-794A-9CF3-338C24A8B1BE}"/>
    <hyperlink ref="D66" r:id="rId82" xr:uid="{3E64AE46-01F3-CA44-B17C-586607397E03}"/>
    <hyperlink ref="D67" r:id="rId83" xr:uid="{1871284A-ED7F-724A-856F-9FB3DBFDAEF1}"/>
    <hyperlink ref="D64" r:id="rId84" xr:uid="{DE2A28B3-C12E-3843-BC4C-9304865ABABF}"/>
    <hyperlink ref="D62" r:id="rId85" xr:uid="{436E68A3-14FD-5341-BBC9-7FF098F95D77}"/>
    <hyperlink ref="D61" r:id="rId86" xr:uid="{1D292876-A90F-AA4F-BE42-4390B51F1897}"/>
    <hyperlink ref="D60" r:id="rId87" xr:uid="{828A34D8-D42F-4FCE-A1EC-543E1CE823DA}"/>
  </hyperlinks>
  <pageMargins left="0.7" right="0.7" top="0.75" bottom="0.75" header="0.3" footer="0.3"/>
  <tableParts count="1">
    <tablePart r:id="rId8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Data_Prep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Sapountzis</dc:creator>
  <cp:lastModifiedBy>Plowman, Sydney</cp:lastModifiedBy>
  <dcterms:created xsi:type="dcterms:W3CDTF">2026-06-10T19:54:43Z</dcterms:created>
  <dcterms:modified xsi:type="dcterms:W3CDTF">2026-10-22T14:55:32Z</dcterms:modified>
</cp:coreProperties>
</file>